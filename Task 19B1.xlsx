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xml"/>
  <Override PartName="/xl/pivotTables/pivotTable9.xml" ContentType="application/vnd.openxmlformats-officedocument.spreadsheetml.pivotTable+xml"/>
  <Override PartName="/xl/drawings/drawing10.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drawings/drawing11.xml" ContentType="application/vnd.openxmlformats-officedocument.drawing+xml"/>
  <Override PartName="/xl/drawings/drawing1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Ex3.xml" ContentType="application/vnd.ms-office.chartex+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Charles\OneDrive\Documents\Vephla\"/>
    </mc:Choice>
  </mc:AlternateContent>
  <xr:revisionPtr revIDLastSave="0" documentId="13_ncr:1_{9DD06D9D-F463-4632-8175-5D2833382A87}" xr6:coauthVersionLast="47" xr6:coauthVersionMax="47" xr10:uidLastSave="{00000000-0000-0000-0000-000000000000}"/>
  <bookViews>
    <workbookView xWindow="-110" yWindow="-110" windowWidth="19420" windowHeight="10300" firstSheet="8" activeTab="12" xr2:uid="{00000000-000D-0000-FFFF-FFFF00000000}"/>
  </bookViews>
  <sheets>
    <sheet name="Day with High sale" sheetId="10" r:id="rId1"/>
    <sheet name="Mode of payment" sheetId="16" r:id="rId2"/>
    <sheet name="Quantity sold by month" sheetId="17" r:id="rId3"/>
    <sheet name="Top 5 coffee by revenue" sheetId="11" r:id="rId4"/>
    <sheet name="Top 6 coffee by quantity" sheetId="12" r:id="rId5"/>
    <sheet name="Revenue by month" sheetId="13" r:id="rId6"/>
    <sheet name="Top hour by highest revenue" sheetId="14" r:id="rId7"/>
    <sheet name="Top hour by quantity sold" sheetId="15" r:id="rId8"/>
    <sheet name="In Analysis board" sheetId="4" r:id="rId9"/>
    <sheet name="Sales trend" sheetId="18" r:id="rId10"/>
    <sheet name="Task 19B" sheetId="1" r:id="rId11"/>
    <sheet name="Pre-Analysis board" sheetId="2" r:id="rId12"/>
    <sheet name="Dashboard" sheetId="19" r:id="rId13"/>
    <sheet name="Post Analysis - Observation" sheetId="5" r:id="rId14"/>
    <sheet name="Post Analysis - Recommendation" sheetId="8" r:id="rId15"/>
  </sheets>
  <definedNames>
    <definedName name="_xlchart.v1.0" hidden="1">'Quantity sold by month'!$A$10:$A$11</definedName>
    <definedName name="_xlchart.v1.1" hidden="1">'Quantity sold by month'!$B$10:$B$11</definedName>
    <definedName name="_xlchart.v1.10" hidden="1">'Quantity sold by month'!$B$10:$B$11</definedName>
    <definedName name="_xlchart.v1.11" hidden="1">'Quantity sold by month'!$B$9</definedName>
    <definedName name="_xlchart.v1.2" hidden="1">'Quantity sold by month'!$B$9</definedName>
    <definedName name="_xlchart.v1.9" hidden="1">'Quantity sold by month'!$A$10:$A$11</definedName>
    <definedName name="_xlchart.v2.3" hidden="1">'Top 6 coffee by quantity'!$D$20:$D$26</definedName>
    <definedName name="_xlchart.v2.4" hidden="1">'Top 6 coffee by quantity'!$E$19</definedName>
    <definedName name="_xlchart.v2.5" hidden="1">'Top 6 coffee by quantity'!$E$20:$E$26</definedName>
    <definedName name="_xlchart.v2.6" hidden="1">'Top 6 coffee by quantity'!$D$20:$D$26</definedName>
    <definedName name="_xlchart.v2.7" hidden="1">'Top 6 coffee by quantity'!$E$19</definedName>
    <definedName name="_xlchart.v2.8" hidden="1">'Top 6 coffee by quantity'!$E$20:$E$26</definedName>
    <definedName name="Slicer_Day_of_week">#N/A</definedName>
    <definedName name="Slicer_Month">#N/A</definedName>
  </definedNames>
  <calcPr calcId="191029"/>
  <pivotCaches>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 i="1"/>
</calcChain>
</file>

<file path=xl/sharedStrings.xml><?xml version="1.0" encoding="utf-8"?>
<sst xmlns="http://schemas.openxmlformats.org/spreadsheetml/2006/main" count="662" uniqueCount="96">
  <si>
    <t>cash</t>
  </si>
  <si>
    <t>Tea</t>
  </si>
  <si>
    <t>card</t>
  </si>
  <si>
    <t>Espresso</t>
  </si>
  <si>
    <t>Chocolate with coffee</t>
  </si>
  <si>
    <t>Chocolate with milk</t>
  </si>
  <si>
    <t>Coffee with Irish whiskey</t>
  </si>
  <si>
    <t>Irish whiskey with milk</t>
  </si>
  <si>
    <t>Double Irish whiskey</t>
  </si>
  <si>
    <t>Double espresso</t>
  </si>
  <si>
    <t>Americano with milk</t>
  </si>
  <si>
    <t>Cappuccino</t>
  </si>
  <si>
    <t>Double espresso with milk</t>
  </si>
  <si>
    <t>Caramel with Irish whiskey</t>
  </si>
  <si>
    <t>Latte</t>
  </si>
  <si>
    <t>Americano</t>
  </si>
  <si>
    <t>Super chocolate</t>
  </si>
  <si>
    <t>Double vanilla</t>
  </si>
  <si>
    <t>Mochaccino</t>
  </si>
  <si>
    <t>Caramel with chocolate</t>
  </si>
  <si>
    <t>Irish whiskey</t>
  </si>
  <si>
    <t>Caramel coffee</t>
  </si>
  <si>
    <t>Vanilla with Irish whiskey</t>
  </si>
  <si>
    <t>Chocolate</t>
  </si>
  <si>
    <t>Caramel with milk</t>
  </si>
  <si>
    <t>Coffee with chocolate</t>
  </si>
  <si>
    <t>Irish with chocolate</t>
  </si>
  <si>
    <t>Vanilla coffee</t>
  </si>
  <si>
    <t>Double ristretto</t>
  </si>
  <si>
    <t>Hot milkshake</t>
  </si>
  <si>
    <t>Double chocolate</t>
  </si>
  <si>
    <t>Caramel</t>
  </si>
  <si>
    <t>Time of day</t>
  </si>
  <si>
    <t>Date</t>
  </si>
  <si>
    <t>Cash_type</t>
  </si>
  <si>
    <t>Money</t>
  </si>
  <si>
    <t>Coffee_name</t>
  </si>
  <si>
    <t>Day of week</t>
  </si>
  <si>
    <t>Month</t>
  </si>
  <si>
    <t>Row Labels</t>
  </si>
  <si>
    <t>Mon</t>
  </si>
  <si>
    <t>Tue</t>
  </si>
  <si>
    <t>Wed</t>
  </si>
  <si>
    <t>Thu</t>
  </si>
  <si>
    <t>Fri</t>
  </si>
  <si>
    <t>Sat</t>
  </si>
  <si>
    <t>Sun</t>
  </si>
  <si>
    <t>Grand Total</t>
  </si>
  <si>
    <t>Sum of Money</t>
  </si>
  <si>
    <t>Count of Coffee_name</t>
  </si>
  <si>
    <t>Quantity sold</t>
  </si>
  <si>
    <t>Feb</t>
  </si>
  <si>
    <t>Mar</t>
  </si>
  <si>
    <t>08-Feb</t>
  </si>
  <si>
    <t>09-Feb</t>
  </si>
  <si>
    <t>10-Feb</t>
  </si>
  <si>
    <t>11-Feb</t>
  </si>
  <si>
    <t>12-Feb</t>
  </si>
  <si>
    <t>13-Feb</t>
  </si>
  <si>
    <t>14-Feb</t>
  </si>
  <si>
    <t>15-Feb</t>
  </si>
  <si>
    <t>16-Feb</t>
  </si>
  <si>
    <t>17-Feb</t>
  </si>
  <si>
    <t>18-Feb</t>
  </si>
  <si>
    <t>19-Feb</t>
  </si>
  <si>
    <t>20-Feb</t>
  </si>
  <si>
    <t>21-Feb</t>
  </si>
  <si>
    <t>22-Feb</t>
  </si>
  <si>
    <t>23-Feb</t>
  </si>
  <si>
    <t>24-Feb</t>
  </si>
  <si>
    <t>25-Feb</t>
  </si>
  <si>
    <t>26-Feb</t>
  </si>
  <si>
    <t>27-Feb</t>
  </si>
  <si>
    <t>28-Feb</t>
  </si>
  <si>
    <t>01-Mar</t>
  </si>
  <si>
    <t>02-Mar</t>
  </si>
  <si>
    <t>03-Mar</t>
  </si>
  <si>
    <t>05-Mar</t>
  </si>
  <si>
    <t>07-Mar</t>
  </si>
  <si>
    <t>08-Mar</t>
  </si>
  <si>
    <t>09-Mar</t>
  </si>
  <si>
    <t>10-Mar</t>
  </si>
  <si>
    <t>11-Mar</t>
  </si>
  <si>
    <t>12-Mar</t>
  </si>
  <si>
    <t>14-Mar</t>
  </si>
  <si>
    <t>15-Mar</t>
  </si>
  <si>
    <t>16-Mar</t>
  </si>
  <si>
    <t>17-Mar</t>
  </si>
  <si>
    <t>18-Mar</t>
  </si>
  <si>
    <t>19-Mar</t>
  </si>
  <si>
    <t>20-Mar</t>
  </si>
  <si>
    <t>21-Mar</t>
  </si>
  <si>
    <t>22-Mar</t>
  </si>
  <si>
    <t>23-Mar</t>
  </si>
  <si>
    <t>Coffee Type</t>
  </si>
  <si>
    <t>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</si>
</sst>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5C]#,##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499984740745262"/>
        <bgColor indexed="64"/>
      </patternFill>
    </fill>
    <fill>
      <patternFill patternType="solid">
        <fgColor theme="2" tint="-0.249977111117893"/>
        <bgColor indexed="64"/>
      </patternFill>
    </fill>
    <fill>
      <patternFill patternType="solid">
        <fgColor theme="5"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4" fontId="0" fillId="0" borderId="0" xfId="0" applyNumberFormat="1"/>
    <xf numFmtId="21" fontId="0" fillId="0" borderId="0" xfId="0" applyNumberFormat="1"/>
    <xf numFmtId="0" fontId="17" fillId="33" borderId="0" xfId="0" applyFont="1" applyFill="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 fontId="0" fillId="0" borderId="0" xfId="0" applyNumberFormat="1"/>
    <xf numFmtId="0" fontId="13" fillId="33" borderId="0" xfId="0" applyFont="1" applyFill="1" applyAlignment="1">
      <alignment horizontal="left"/>
    </xf>
    <xf numFmtId="0" fontId="13" fillId="33" borderId="0" xfId="0" applyFont="1" applyFill="1"/>
    <xf numFmtId="10" fontId="0" fillId="0" borderId="0" xfId="0" applyNumberFormat="1"/>
    <xf numFmtId="21" fontId="0" fillId="0" borderId="0" xfId="0" applyNumberFormat="1" applyAlignment="1">
      <alignment horizontal="left"/>
    </xf>
    <xf numFmtId="2" fontId="0" fillId="0" borderId="0" xfId="0" applyNumberFormat="1"/>
    <xf numFmtId="14" fontId="0" fillId="0" borderId="0" xfId="0" applyNumberFormat="1" applyAlignment="1">
      <alignment horizontal="left" indent="1"/>
    </xf>
    <xf numFmtId="0" fontId="0" fillId="34" borderId="0" xfId="0" applyFill="1"/>
    <xf numFmtId="0" fontId="13" fillId="35"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5">
    <dxf>
      <numFmt numFmtId="164" formatCode="[$$-45C]#,##0.00"/>
    </dxf>
    <dxf>
      <numFmt numFmtId="0" formatCode="General"/>
    </dxf>
    <dxf>
      <numFmt numFmtId="164" formatCode="[$$-45C]#,##0.00"/>
    </dxf>
    <dxf>
      <numFmt numFmtId="164" formatCode="[$$-45C]#,##0.00"/>
    </dxf>
    <dxf>
      <numFmt numFmtId="0" formatCode="General"/>
    </dxf>
    <dxf>
      <numFmt numFmtId="164" formatCode="[$$-45C]#,##0.00"/>
    </dxf>
    <dxf>
      <numFmt numFmtId="164" formatCode="[$$-45C]#,##0.00"/>
    </dxf>
    <dxf>
      <numFmt numFmtId="3" formatCode="#,##0"/>
    </dxf>
    <dxf>
      <numFmt numFmtId="2" formatCode="0.00"/>
    </dxf>
    <dxf>
      <numFmt numFmtId="164" formatCode="[$$-45C]#,##0.00"/>
    </dxf>
    <dxf>
      <numFmt numFmtId="0" formatCode="General"/>
    </dxf>
    <dxf>
      <numFmt numFmtId="164" formatCode="[$$-45C]#,##0.00"/>
    </dxf>
    <dxf>
      <numFmt numFmtId="164" formatCode="[$$-45C]#,##0.00"/>
    </dxf>
    <dxf>
      <numFmt numFmtId="14" formatCode="0.00%"/>
    </dxf>
    <dxf>
      <numFmt numFmtId="164" formatCode="[$$-45C]#,##0.00"/>
    </dxf>
    <dxf>
      <numFmt numFmtId="1" formatCode="0"/>
    </dxf>
    <dxf>
      <numFmt numFmtId="164" formatCode="[$$-45C]#,##0.00"/>
    </dxf>
    <dxf>
      <numFmt numFmtId="2" formatCode="0.00"/>
    </dxf>
    <dxf>
      <numFmt numFmtId="164" formatCode="[$$-45C]#,##0.00"/>
    </dxf>
    <dxf>
      <numFmt numFmtId="164" formatCode="[$$-45C]#,##0.00"/>
    </dxf>
    <dxf>
      <font>
        <b/>
        <color theme="1"/>
      </font>
      <border diagonalUp="0" diagonalDown="0">
        <left/>
        <right/>
        <top/>
        <bottom/>
        <vertical/>
        <horizontal/>
      </border>
    </dxf>
    <dxf>
      <font>
        <sz val="11"/>
        <color theme="1"/>
        <name val="Georgia"/>
        <family val="1"/>
        <scheme val="none"/>
      </font>
      <fill>
        <patternFill>
          <bgColor theme="0"/>
        </patternFill>
      </fill>
      <border diagonalUp="0" diagonalDown="0">
        <left/>
        <right/>
        <top/>
        <bottom/>
        <vertical/>
        <horizontal/>
      </border>
    </dxf>
    <dxf>
      <font>
        <b/>
        <color theme="1"/>
      </font>
      <fill>
        <patternFill>
          <bgColor rgb="FFD2BAB0"/>
        </patternFill>
      </fill>
      <border diagonalUp="0" diagonalDown="0">
        <left/>
        <right/>
        <top/>
        <bottom/>
        <vertical/>
        <horizontal/>
      </border>
    </dxf>
    <dxf>
      <font>
        <sz val="11"/>
        <color theme="1"/>
        <name val="Georgia"/>
        <family val="1"/>
        <scheme val="none"/>
      </font>
      <fill>
        <patternFill>
          <bgColor rgb="FFD2BAB0"/>
        </patternFill>
      </fill>
      <border diagonalUp="0" diagonalDown="0">
        <left/>
        <right/>
        <top/>
        <bottom/>
        <vertical/>
        <horizontal/>
      </border>
    </dxf>
    <dxf>
      <numFmt numFmtId="26" formatCode="hh:mm:ss"/>
    </dxf>
    <dxf>
      <numFmt numFmtId="19" formatCode="dd/mm/yyyy"/>
    </dxf>
    <dxf>
      <font>
        <b val="0"/>
        <i val="0"/>
        <strike val="0"/>
        <condense val="0"/>
        <extend val="0"/>
        <outline val="0"/>
        <shadow val="0"/>
        <u val="none"/>
        <vertAlign val="baseline"/>
        <sz val="11"/>
        <color theme="0"/>
        <name val="Calibri"/>
        <family val="2"/>
        <scheme val="minor"/>
      </font>
      <fill>
        <patternFill patternType="solid">
          <fgColor indexed="64"/>
          <bgColor theme="7" tint="-0.499984740745262"/>
        </patternFill>
      </fill>
    </dxf>
    <dxf>
      <numFmt numFmtId="164" formatCode="[$$-45C]#,##0.00"/>
    </dxf>
    <dxf>
      <numFmt numFmtId="2" formatCode="0.00"/>
    </dxf>
    <dxf>
      <numFmt numFmtId="3" formatCode="#,##0"/>
    </dxf>
    <dxf>
      <numFmt numFmtId="164" formatCode="[$$-45C]#,##0.00"/>
    </dxf>
    <dxf>
      <numFmt numFmtId="0" formatCode="General"/>
    </dxf>
    <dxf>
      <numFmt numFmtId="164" formatCode="[$$-45C]#,##0.00"/>
    </dxf>
    <dxf>
      <numFmt numFmtId="14" formatCode="0.00%"/>
    </dxf>
    <dxf>
      <numFmt numFmtId="164" formatCode="[$$-45C]#,##0.00"/>
    </dxf>
    <dxf>
      <numFmt numFmtId="1" formatCode="0"/>
    </dxf>
    <dxf>
      <numFmt numFmtId="164" formatCode="[$$-45C]#,##0.00"/>
    </dxf>
    <dxf>
      <numFmt numFmtId="164" formatCode="[$$-45C]#,##0.00"/>
    </dxf>
    <dxf>
      <numFmt numFmtId="2" formatCode="0.00"/>
    </dxf>
    <dxf>
      <numFmt numFmtId="164" formatCode="[$$-45C]#,##0.00"/>
    </dxf>
    <dxf>
      <numFmt numFmtId="164" formatCode="[$$-45C]#,##0.00"/>
    </dxf>
    <dxf>
      <font>
        <b/>
        <color theme="1"/>
      </font>
      <fill>
        <patternFill>
          <bgColor theme="5" tint="0.59996337778862885"/>
        </patternFill>
      </fill>
      <border diagonalUp="0" diagonalDown="0">
        <left/>
        <right/>
        <top/>
        <bottom/>
        <vertical/>
        <horizontal/>
      </border>
    </dxf>
    <dxf>
      <font>
        <color theme="1"/>
      </font>
      <fill>
        <patternFill>
          <bgColor theme="5" tint="0.59996337778862885"/>
        </patternFill>
      </fill>
      <border diagonalUp="0" diagonalDown="0">
        <left/>
        <right/>
        <top/>
        <bottom/>
        <vertical/>
        <horizontal/>
      </border>
    </dxf>
    <dxf>
      <font>
        <b/>
        <color theme="1"/>
      </font>
      <fill>
        <patternFill>
          <bgColor theme="5" tint="0.59996337778862885"/>
        </patternFill>
      </fill>
      <border diagonalUp="0" diagonalDown="0">
        <left/>
        <right/>
        <top/>
        <bottom/>
        <vertical/>
        <horizontal/>
      </border>
    </dxf>
    <dxf>
      <font>
        <color theme="1"/>
      </font>
      <fill>
        <patternFill>
          <bgColor theme="5" tint="0.59996337778862885"/>
        </patternFill>
      </fill>
      <border diagonalUp="0" diagonalDown="0">
        <left/>
        <right/>
        <top/>
        <bottom/>
        <vertical/>
        <horizontal/>
      </border>
    </dxf>
  </dxfs>
  <tableStyles count="4" defaultTableStyle="TableStyleMedium2" defaultPivotStyle="PivotStyleLight16">
    <tableStyle name="coffee sales" pivot="0" table="0" count="10" xr9:uid="{8D57A17F-4819-48B4-804B-F656E1C27A4D}">
      <tableStyleElement type="wholeTable" dxfId="21"/>
      <tableStyleElement type="headerRow" dxfId="20"/>
    </tableStyle>
    <tableStyle name="coffee sales 2" pivot="0" table="0" count="10" xr9:uid="{39DD2479-E101-4371-AFEB-F1477D61F597}">
      <tableStyleElement type="wholeTable" dxfId="23"/>
      <tableStyleElement type="headerRow" dxfId="22"/>
    </tableStyle>
    <tableStyle name="day" pivot="0" table="0" count="10" xr9:uid="{E7C194CE-18FF-461B-8874-716A74DB4BB4}">
      <tableStyleElement type="wholeTable" dxfId="44"/>
      <tableStyleElement type="headerRow" dxfId="43"/>
    </tableStyle>
    <tableStyle name="day of week" pivot="0" table="0" count="10" xr9:uid="{A6FA6DA2-60C6-4926-B084-7863337F5829}">
      <tableStyleElement type="wholeTable" dxfId="42"/>
      <tableStyleElement type="headerRow" dxfId="41"/>
    </tableStyle>
  </tableStyles>
  <colors>
    <mruColors>
      <color rgb="FF6A4A3A"/>
      <color rgb="FF967267"/>
      <color rgb="FFD2BAB0"/>
      <color rgb="FFB08C7E"/>
      <color rgb="FF422B21"/>
    </mruColors>
  </colors>
  <extLst>
    <ext xmlns:x14="http://schemas.microsoft.com/office/spreadsheetml/2009/9/main" uri="{46F421CA-312F-682f-3DD2-61675219B42D}">
      <x14:dxfs count="4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sz val="14"/>
            <color theme="1"/>
            <name val="Georgia"/>
            <family val="1"/>
          </font>
          <fill>
            <patternFill patternType="solid">
              <fgColor theme="5" tint="0.59999389629810485"/>
              <bgColor rgb="FFD2BAB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sz val="14"/>
            <color theme="1"/>
            <name val="Georgia"/>
            <family val="1"/>
            <scheme val="none"/>
          </font>
          <fill>
            <patternFill patternType="solid">
              <fgColor theme="5" tint="0.59999389629810485"/>
              <bgColor rgb="FFD2BAB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sz val="12"/>
            <color theme="1"/>
          </font>
          <fill>
            <patternFill patternType="solid">
              <fgColor theme="5" tint="0.59999389629810485"/>
              <bgColor rgb="FFD2BAB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sz val="12"/>
            <color theme="1"/>
          </font>
          <fill>
            <patternFill patternType="solid">
              <fgColor theme="5" tint="0.59999389629810485"/>
              <bgColor rgb="FFD2BAB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offee sale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coffee sales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day">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day of week">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19B1.xlsx]Day with High sale!PivotTable6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eorgia" panose="02040502050405020303" pitchFamily="18" charset="0"/>
              </a:rPr>
              <a:t>Day with Highest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2">
              <a:lumMod val="60000"/>
              <a:lumOff val="40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20000"/>
              <a:lumOff val="80000"/>
            </a:schemeClr>
          </a:solidFill>
          <a:ln>
            <a:noFill/>
          </a:ln>
          <a:effectLst/>
        </c:spPr>
      </c:pivotFmt>
      <c:pivotFmt>
        <c:idx val="5"/>
        <c:spPr>
          <a:solidFill>
            <a:schemeClr val="accent2">
              <a:lumMod val="40000"/>
              <a:lumOff val="60000"/>
            </a:schemeClr>
          </a:solidFill>
          <a:ln>
            <a:noFill/>
          </a:ln>
          <a:effectLst/>
        </c:spPr>
      </c:pivotFmt>
      <c:pivotFmt>
        <c:idx val="6"/>
        <c:spPr>
          <a:solidFill>
            <a:schemeClr val="accent2">
              <a:lumMod val="20000"/>
              <a:lumOff val="80000"/>
            </a:schemeClr>
          </a:solidFill>
          <a:ln>
            <a:noFill/>
          </a:ln>
          <a:effectLst/>
        </c:spPr>
      </c:pivotFmt>
    </c:pivotFmts>
    <c:plotArea>
      <c:layout/>
      <c:barChart>
        <c:barDir val="bar"/>
        <c:grouping val="clustered"/>
        <c:varyColors val="0"/>
        <c:ser>
          <c:idx val="0"/>
          <c:order val="0"/>
          <c:tx>
            <c:strRef>
              <c:f>'Day with High sale'!$B$3</c:f>
              <c:strCache>
                <c:ptCount val="1"/>
                <c:pt idx="0">
                  <c:v>Total</c:v>
                </c:pt>
              </c:strCache>
            </c:strRef>
          </c:tx>
          <c:spPr>
            <a:solidFill>
              <a:schemeClr val="accent2">
                <a:lumMod val="50000"/>
              </a:schemeClr>
            </a:solidFill>
            <a:ln>
              <a:noFill/>
            </a:ln>
            <a:effectLst/>
          </c:spPr>
          <c:invertIfNegative val="0"/>
          <c:dPt>
            <c:idx val="0"/>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1-852D-4380-81C5-448A840356B7}"/>
              </c:ext>
            </c:extLst>
          </c:dPt>
          <c:dPt>
            <c:idx val="1"/>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2-8B8B-40C2-AD05-83FE9A226DAE}"/>
              </c:ext>
            </c:extLst>
          </c:dPt>
          <c:dPt>
            <c:idx val="2"/>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3-8B8B-40C2-AD05-83FE9A226DAE}"/>
              </c:ext>
            </c:extLst>
          </c:dPt>
          <c:dPt>
            <c:idx val="3"/>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4-8B8B-40C2-AD05-83FE9A226DAE}"/>
              </c:ext>
            </c:extLst>
          </c:dPt>
          <c:dPt>
            <c:idx val="4"/>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5-8B8B-40C2-AD05-83FE9A226DAE}"/>
              </c:ext>
            </c:extLst>
          </c:dPt>
          <c:dPt>
            <c:idx val="5"/>
            <c:invertIfNegative val="0"/>
            <c:bubble3D val="0"/>
            <c:spPr>
              <a:solidFill>
                <a:schemeClr val="accent2">
                  <a:lumMod val="75000"/>
                </a:schemeClr>
              </a:solidFill>
              <a:ln>
                <a:noFill/>
              </a:ln>
              <a:effectLst/>
            </c:spPr>
            <c:extLst>
              <c:ext xmlns:c16="http://schemas.microsoft.com/office/drawing/2014/chart" uri="{C3380CC4-5D6E-409C-BE32-E72D297353CC}">
                <c16:uniqueId val="{00000006-8B8B-40C2-AD05-83FE9A226DAE}"/>
              </c:ext>
            </c:extLst>
          </c:dPt>
          <c:dPt>
            <c:idx val="6"/>
            <c:invertIfNegative val="0"/>
            <c:bubble3D val="0"/>
            <c:extLst>
              <c:ext xmlns:c16="http://schemas.microsoft.com/office/drawing/2014/chart" uri="{C3380CC4-5D6E-409C-BE32-E72D297353CC}">
                <c16:uniqueId val="{00000007-8B8B-40C2-AD05-83FE9A226DAE}"/>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 with High sale'!$A$4:$A$11</c:f>
              <c:strCache>
                <c:ptCount val="7"/>
                <c:pt idx="0">
                  <c:v>Tue</c:v>
                </c:pt>
                <c:pt idx="1">
                  <c:v>Thu</c:v>
                </c:pt>
                <c:pt idx="2">
                  <c:v>Mon</c:v>
                </c:pt>
                <c:pt idx="3">
                  <c:v>Wed</c:v>
                </c:pt>
                <c:pt idx="4">
                  <c:v>Fri</c:v>
                </c:pt>
                <c:pt idx="5">
                  <c:v>Sat</c:v>
                </c:pt>
                <c:pt idx="6">
                  <c:v>Sun</c:v>
                </c:pt>
              </c:strCache>
            </c:strRef>
          </c:cat>
          <c:val>
            <c:numRef>
              <c:f>'Day with High sale'!$B$4:$B$11</c:f>
              <c:numCache>
                <c:formatCode>[$$-45C]#,##0.00</c:formatCode>
                <c:ptCount val="7"/>
                <c:pt idx="0">
                  <c:v>511</c:v>
                </c:pt>
                <c:pt idx="1">
                  <c:v>548</c:v>
                </c:pt>
                <c:pt idx="2">
                  <c:v>789</c:v>
                </c:pt>
                <c:pt idx="3">
                  <c:v>1089</c:v>
                </c:pt>
                <c:pt idx="4">
                  <c:v>1100</c:v>
                </c:pt>
                <c:pt idx="5">
                  <c:v>1240</c:v>
                </c:pt>
                <c:pt idx="6">
                  <c:v>1613</c:v>
                </c:pt>
              </c:numCache>
            </c:numRef>
          </c:val>
          <c:extLst>
            <c:ext xmlns:c16="http://schemas.microsoft.com/office/drawing/2014/chart" uri="{C3380CC4-5D6E-409C-BE32-E72D297353CC}">
              <c16:uniqueId val="{00000000-8B8B-40C2-AD05-83FE9A226DAE}"/>
            </c:ext>
          </c:extLst>
        </c:ser>
        <c:dLbls>
          <c:dLblPos val="outEnd"/>
          <c:showLegendKey val="0"/>
          <c:showVal val="1"/>
          <c:showCatName val="0"/>
          <c:showSerName val="0"/>
          <c:showPercent val="0"/>
          <c:showBubbleSize val="0"/>
        </c:dLbls>
        <c:gapWidth val="20"/>
        <c:axId val="633200415"/>
        <c:axId val="633208319"/>
      </c:barChart>
      <c:catAx>
        <c:axId val="63320041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eorgia" panose="02040502050405020303" pitchFamily="18" charset="0"/>
                <a:ea typeface="+mn-ea"/>
                <a:cs typeface="+mn-cs"/>
              </a:defRPr>
            </a:pPr>
            <a:endParaRPr lang="en-NG"/>
          </a:p>
        </c:txPr>
        <c:crossAx val="633208319"/>
        <c:crosses val="autoZero"/>
        <c:auto val="1"/>
        <c:lblAlgn val="ctr"/>
        <c:lblOffset val="100"/>
        <c:noMultiLvlLbl val="0"/>
      </c:catAx>
      <c:valAx>
        <c:axId val="633208319"/>
        <c:scaling>
          <c:orientation val="minMax"/>
        </c:scaling>
        <c:delete val="1"/>
        <c:axPos val="b"/>
        <c:majorGridlines>
          <c:spPr>
            <a:ln w="9525" cap="flat" cmpd="sng" algn="ctr">
              <a:solidFill>
                <a:schemeClr val="bg1">
                  <a:lumMod val="95000"/>
                </a:schemeClr>
              </a:solidFill>
              <a:round/>
            </a:ln>
            <a:effectLst/>
          </c:spPr>
        </c:majorGridlines>
        <c:numFmt formatCode="[$$-45C]#,##0.00" sourceLinked="1"/>
        <c:majorTickMark val="none"/>
        <c:minorTickMark val="none"/>
        <c:tickLblPos val="nextTo"/>
        <c:crossAx val="633200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19B1.xlsx]Mode of payment!PivotTable6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eorgia" panose="02040502050405020303" pitchFamily="18" charset="0"/>
              </a:rPr>
              <a:t>Preferred Mode</a:t>
            </a:r>
            <a:r>
              <a:rPr lang="en-US" baseline="0">
                <a:latin typeface="Georgia" panose="02040502050405020303" pitchFamily="18" charset="0"/>
              </a:rPr>
              <a:t> of Payment</a:t>
            </a:r>
            <a:endParaRPr lang="en-US">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2">
              <a:lumMod val="60000"/>
              <a:lumOff val="40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40000"/>
              <a:lumOff val="60000"/>
            </a:schemeClr>
          </a:solidFill>
          <a:ln>
            <a:noFill/>
          </a:ln>
          <a:effectLst/>
        </c:spPr>
      </c:pivotFmt>
      <c:pivotFmt>
        <c:idx val="5"/>
        <c:spPr>
          <a:solidFill>
            <a:schemeClr val="accent2">
              <a:lumMod val="40000"/>
              <a:lumOff val="60000"/>
            </a:schemeClr>
          </a:solidFill>
          <a:ln>
            <a:noFill/>
          </a:ln>
          <a:effectLst/>
        </c:spPr>
      </c:pivotFmt>
      <c:pivotFmt>
        <c:idx val="6"/>
        <c:spPr>
          <a:solidFill>
            <a:schemeClr val="accent2">
              <a:lumMod val="20000"/>
              <a:lumOff val="80000"/>
            </a:schemeClr>
          </a:solidFill>
          <a:ln>
            <a:noFill/>
          </a:ln>
          <a:effectLst/>
        </c:spPr>
      </c:pivotFmt>
      <c:pivotFmt>
        <c:idx val="7"/>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75000"/>
            </a:schemeClr>
          </a:solidFill>
          <a:ln>
            <a:noFill/>
          </a:ln>
          <a:effectLst/>
        </c:spPr>
      </c:pivotFmt>
      <c:pivotFmt>
        <c:idx val="9"/>
        <c:spPr>
          <a:solidFill>
            <a:schemeClr val="accent2">
              <a:lumMod val="60000"/>
              <a:lumOff val="40000"/>
            </a:schemeClr>
          </a:solidFill>
          <a:ln>
            <a:noFill/>
          </a:ln>
          <a:effectLst/>
        </c:spPr>
      </c:pivotFmt>
      <c:pivotFmt>
        <c:idx val="10"/>
        <c:spPr>
          <a:solidFill>
            <a:schemeClr val="accent2">
              <a:lumMod val="60000"/>
              <a:lumOff val="40000"/>
            </a:schemeClr>
          </a:solidFill>
          <a:ln>
            <a:noFill/>
          </a:ln>
          <a:effectLst/>
        </c:spPr>
      </c:pivotFmt>
      <c:pivotFmt>
        <c:idx val="11"/>
        <c:spPr>
          <a:solidFill>
            <a:schemeClr val="accent2">
              <a:lumMod val="40000"/>
              <a:lumOff val="60000"/>
            </a:schemeClr>
          </a:solidFill>
          <a:ln>
            <a:noFill/>
          </a:ln>
          <a:effectLst/>
        </c:spPr>
      </c:pivotFmt>
      <c:pivotFmt>
        <c:idx val="12"/>
        <c:spPr>
          <a:solidFill>
            <a:schemeClr val="accent2">
              <a:lumMod val="40000"/>
              <a:lumOff val="60000"/>
            </a:schemeClr>
          </a:solidFill>
          <a:ln>
            <a:noFill/>
          </a:ln>
          <a:effectLst/>
        </c:spPr>
      </c:pivotFmt>
      <c:pivotFmt>
        <c:idx val="13"/>
        <c:spPr>
          <a:solidFill>
            <a:schemeClr val="accent2">
              <a:lumMod val="20000"/>
              <a:lumOff val="80000"/>
            </a:schemeClr>
          </a:solidFill>
          <a:ln>
            <a:noFill/>
          </a:ln>
          <a:effectLst/>
        </c:spPr>
      </c:pivotFmt>
      <c:pivotFmt>
        <c:idx val="14"/>
        <c:spPr>
          <a:solidFill>
            <a:schemeClr val="accent2">
              <a:lumMod val="60000"/>
              <a:lumOff val="40000"/>
            </a:schemeClr>
          </a:solidFill>
          <a:ln>
            <a:noFill/>
          </a:ln>
          <a:effectLst/>
        </c:spPr>
      </c:pivotFmt>
    </c:pivotFmts>
    <c:plotArea>
      <c:layout/>
      <c:barChart>
        <c:barDir val="bar"/>
        <c:grouping val="clustered"/>
        <c:varyColors val="0"/>
        <c:ser>
          <c:idx val="0"/>
          <c:order val="0"/>
          <c:tx>
            <c:strRef>
              <c:f>'Mode of payment'!$B$3</c:f>
              <c:strCache>
                <c:ptCount val="1"/>
                <c:pt idx="0">
                  <c:v>Total</c:v>
                </c:pt>
              </c:strCache>
            </c:strRef>
          </c:tx>
          <c:spPr>
            <a:solidFill>
              <a:schemeClr val="accent2">
                <a:lumMod val="50000"/>
              </a:schemeClr>
            </a:solidFill>
            <a:ln>
              <a:noFill/>
            </a:ln>
            <a:effectLst/>
          </c:spPr>
          <c:invertIfNegative val="0"/>
          <c:dPt>
            <c:idx val="0"/>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3FE0-418E-89F7-AED926105EBC}"/>
              </c:ext>
            </c:extLst>
          </c:dPt>
          <c:dPt>
            <c:idx val="1"/>
            <c:invertIfNegative val="0"/>
            <c:bubble3D val="0"/>
            <c:extLst>
              <c:ext xmlns:c16="http://schemas.microsoft.com/office/drawing/2014/chart" uri="{C3380CC4-5D6E-409C-BE32-E72D297353CC}">
                <c16:uniqueId val="{00000001-C0A7-4741-8D65-09CF63965C1F}"/>
              </c:ext>
            </c:extLst>
          </c:dPt>
          <c:dPt>
            <c:idx val="2"/>
            <c:invertIfNegative val="0"/>
            <c:bubble3D val="0"/>
            <c:extLst>
              <c:ext xmlns:c16="http://schemas.microsoft.com/office/drawing/2014/chart" uri="{C3380CC4-5D6E-409C-BE32-E72D297353CC}">
                <c16:uniqueId val="{00000003-C0A7-4741-8D65-09CF63965C1F}"/>
              </c:ext>
            </c:extLst>
          </c:dPt>
          <c:dPt>
            <c:idx val="3"/>
            <c:invertIfNegative val="0"/>
            <c:bubble3D val="0"/>
            <c:extLst>
              <c:ext xmlns:c16="http://schemas.microsoft.com/office/drawing/2014/chart" uri="{C3380CC4-5D6E-409C-BE32-E72D297353CC}">
                <c16:uniqueId val="{00000005-C0A7-4741-8D65-09CF63965C1F}"/>
              </c:ext>
            </c:extLst>
          </c:dPt>
          <c:dPt>
            <c:idx val="4"/>
            <c:invertIfNegative val="0"/>
            <c:bubble3D val="0"/>
            <c:extLst>
              <c:ext xmlns:c16="http://schemas.microsoft.com/office/drawing/2014/chart" uri="{C3380CC4-5D6E-409C-BE32-E72D297353CC}">
                <c16:uniqueId val="{00000007-C0A7-4741-8D65-09CF63965C1F}"/>
              </c:ext>
            </c:extLst>
          </c:dPt>
          <c:dPt>
            <c:idx val="5"/>
            <c:invertIfNegative val="0"/>
            <c:bubble3D val="0"/>
            <c:extLst>
              <c:ext xmlns:c16="http://schemas.microsoft.com/office/drawing/2014/chart" uri="{C3380CC4-5D6E-409C-BE32-E72D297353CC}">
                <c16:uniqueId val="{00000009-C0A7-4741-8D65-09CF63965C1F}"/>
              </c:ext>
            </c:extLst>
          </c:dPt>
          <c:dPt>
            <c:idx val="6"/>
            <c:invertIfNegative val="0"/>
            <c:bubble3D val="0"/>
            <c:extLst>
              <c:ext xmlns:c16="http://schemas.microsoft.com/office/drawing/2014/chart" uri="{C3380CC4-5D6E-409C-BE32-E72D297353CC}">
                <c16:uniqueId val="{0000000B-C0A7-4741-8D65-09CF63965C1F}"/>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 of payment'!$A$4:$A$6</c:f>
              <c:strCache>
                <c:ptCount val="2"/>
                <c:pt idx="0">
                  <c:v>cash</c:v>
                </c:pt>
                <c:pt idx="1">
                  <c:v>card</c:v>
                </c:pt>
              </c:strCache>
            </c:strRef>
          </c:cat>
          <c:val>
            <c:numRef>
              <c:f>'Mode of payment'!$B$4:$B$6</c:f>
              <c:numCache>
                <c:formatCode>[$$-45C]#,##0.00</c:formatCode>
                <c:ptCount val="2"/>
                <c:pt idx="0">
                  <c:v>2021</c:v>
                </c:pt>
                <c:pt idx="1">
                  <c:v>4869</c:v>
                </c:pt>
              </c:numCache>
            </c:numRef>
          </c:val>
          <c:extLst>
            <c:ext xmlns:c16="http://schemas.microsoft.com/office/drawing/2014/chart" uri="{C3380CC4-5D6E-409C-BE32-E72D297353CC}">
              <c16:uniqueId val="{0000000C-C0A7-4741-8D65-09CF63965C1F}"/>
            </c:ext>
          </c:extLst>
        </c:ser>
        <c:dLbls>
          <c:dLblPos val="outEnd"/>
          <c:showLegendKey val="0"/>
          <c:showVal val="1"/>
          <c:showCatName val="0"/>
          <c:showSerName val="0"/>
          <c:showPercent val="0"/>
          <c:showBubbleSize val="0"/>
        </c:dLbls>
        <c:gapWidth val="20"/>
        <c:axId val="633200415"/>
        <c:axId val="633208319"/>
      </c:barChart>
      <c:catAx>
        <c:axId val="63320041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eorgia" panose="02040502050405020303" pitchFamily="18" charset="0"/>
                <a:ea typeface="+mn-ea"/>
                <a:cs typeface="+mn-cs"/>
              </a:defRPr>
            </a:pPr>
            <a:endParaRPr lang="en-NG"/>
          </a:p>
        </c:txPr>
        <c:crossAx val="633208319"/>
        <c:crosses val="autoZero"/>
        <c:auto val="1"/>
        <c:lblAlgn val="ctr"/>
        <c:lblOffset val="100"/>
        <c:noMultiLvlLbl val="0"/>
      </c:catAx>
      <c:valAx>
        <c:axId val="633208319"/>
        <c:scaling>
          <c:orientation val="minMax"/>
        </c:scaling>
        <c:delete val="1"/>
        <c:axPos val="b"/>
        <c:majorGridlines>
          <c:spPr>
            <a:ln w="9525" cap="flat" cmpd="sng" algn="ctr">
              <a:solidFill>
                <a:schemeClr val="bg1">
                  <a:lumMod val="95000"/>
                </a:schemeClr>
              </a:solidFill>
              <a:round/>
            </a:ln>
            <a:effectLst/>
          </c:spPr>
        </c:majorGridlines>
        <c:numFmt formatCode="[$$-45C]#,##0.00" sourceLinked="1"/>
        <c:majorTickMark val="none"/>
        <c:minorTickMark val="none"/>
        <c:tickLblPos val="nextTo"/>
        <c:crossAx val="633200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19B1.xlsx]Quantity sold by month!PivotTable6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eorgia" panose="02040502050405020303" pitchFamily="18" charset="0"/>
              </a:rPr>
              <a:t>Preferred Mode</a:t>
            </a:r>
            <a:r>
              <a:rPr lang="en-US" baseline="0">
                <a:latin typeface="Georgia" panose="02040502050405020303" pitchFamily="18" charset="0"/>
              </a:rPr>
              <a:t> of Payment</a:t>
            </a:r>
            <a:endParaRPr lang="en-US">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2">
              <a:lumMod val="60000"/>
              <a:lumOff val="40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40000"/>
              <a:lumOff val="60000"/>
            </a:schemeClr>
          </a:solidFill>
          <a:ln>
            <a:noFill/>
          </a:ln>
          <a:effectLst/>
        </c:spPr>
      </c:pivotFmt>
      <c:pivotFmt>
        <c:idx val="5"/>
        <c:spPr>
          <a:solidFill>
            <a:schemeClr val="accent2">
              <a:lumMod val="40000"/>
              <a:lumOff val="60000"/>
            </a:schemeClr>
          </a:solidFill>
          <a:ln>
            <a:noFill/>
          </a:ln>
          <a:effectLst/>
        </c:spPr>
      </c:pivotFmt>
      <c:pivotFmt>
        <c:idx val="6"/>
        <c:spPr>
          <a:solidFill>
            <a:schemeClr val="accent2">
              <a:lumMod val="20000"/>
              <a:lumOff val="80000"/>
            </a:schemeClr>
          </a:solidFill>
          <a:ln>
            <a:noFill/>
          </a:ln>
          <a:effectLst/>
        </c:spPr>
      </c:pivotFmt>
      <c:pivotFmt>
        <c:idx val="7"/>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75000"/>
            </a:schemeClr>
          </a:solidFill>
          <a:ln>
            <a:noFill/>
          </a:ln>
          <a:effectLst/>
        </c:spPr>
      </c:pivotFmt>
      <c:pivotFmt>
        <c:idx val="9"/>
        <c:spPr>
          <a:solidFill>
            <a:schemeClr val="accent2">
              <a:lumMod val="60000"/>
              <a:lumOff val="40000"/>
            </a:schemeClr>
          </a:solidFill>
          <a:ln>
            <a:noFill/>
          </a:ln>
          <a:effectLst/>
        </c:spPr>
      </c:pivotFmt>
      <c:pivotFmt>
        <c:idx val="10"/>
        <c:spPr>
          <a:solidFill>
            <a:schemeClr val="accent2">
              <a:lumMod val="60000"/>
              <a:lumOff val="40000"/>
            </a:schemeClr>
          </a:solidFill>
          <a:ln>
            <a:noFill/>
          </a:ln>
          <a:effectLst/>
        </c:spPr>
      </c:pivotFmt>
      <c:pivotFmt>
        <c:idx val="11"/>
        <c:spPr>
          <a:solidFill>
            <a:schemeClr val="accent2">
              <a:lumMod val="40000"/>
              <a:lumOff val="60000"/>
            </a:schemeClr>
          </a:solidFill>
          <a:ln>
            <a:noFill/>
          </a:ln>
          <a:effectLst/>
        </c:spPr>
      </c:pivotFmt>
      <c:pivotFmt>
        <c:idx val="12"/>
        <c:spPr>
          <a:solidFill>
            <a:schemeClr val="accent2">
              <a:lumMod val="40000"/>
              <a:lumOff val="60000"/>
            </a:schemeClr>
          </a:solidFill>
          <a:ln>
            <a:noFill/>
          </a:ln>
          <a:effectLst/>
        </c:spPr>
      </c:pivotFmt>
      <c:pivotFmt>
        <c:idx val="13"/>
        <c:spPr>
          <a:solidFill>
            <a:schemeClr val="accent2">
              <a:lumMod val="20000"/>
              <a:lumOff val="80000"/>
            </a:schemeClr>
          </a:solidFill>
          <a:ln>
            <a:noFill/>
          </a:ln>
          <a:effectLst/>
        </c:spPr>
      </c:pivotFmt>
      <c:pivotFmt>
        <c:idx val="14"/>
        <c:spPr>
          <a:solidFill>
            <a:schemeClr val="accent2">
              <a:lumMod val="60000"/>
              <a:lumOff val="40000"/>
            </a:schemeClr>
          </a:solidFill>
          <a:ln>
            <a:noFill/>
          </a:ln>
          <a:effectLst/>
        </c:spPr>
      </c:pivotFmt>
      <c:pivotFmt>
        <c:idx val="15"/>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lumMod val="60000"/>
              <a:lumOff val="40000"/>
            </a:schemeClr>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'Quantity sold by month'!$B$3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'Quantity sold by month'!$A$4:$A$6</c:f>
              <c:strCache>
                <c:ptCount val="2"/>
                <c:pt idx="0">
                  <c:v>Feb</c:v>
                </c:pt>
                <c:pt idx="1">
                  <c:v>Mar</c:v>
                </c:pt>
              </c:strCache>
            </c:strRef>
          </c:cat>
          <c:val>
            <c:numRef>
              <c:f>'Quantity sold by month'!$B$4:$B$6</c:f>
              <c:numCache>
                <c:formatCode>0.00</c:formatCode>
                <c:ptCount val="2"/>
                <c:pt idx="0">
                  <c:v>138</c:v>
                </c:pt>
                <c:pt idx="1">
                  <c:v>124</c:v>
                </c:pt>
              </c:numCache>
            </c:numRef>
          </c:val>
          <c:extLst>
            <c:ext xmlns:c16="http://schemas.microsoft.com/office/drawing/2014/chart" uri="{C3380CC4-5D6E-409C-BE32-E72D297353CC}">
              <c16:uniqueId val="{00000009-C231-47E8-A5F1-2E06AF89F9D0}"/>
            </c:ext>
          </c:extLst>
        </c:ser>
        <c:dLbls>
          <c:dLblPos val="outEnd"/>
          <c:showLegendKey val="0"/>
          <c:showVal val="1"/>
          <c:showCatName val="0"/>
          <c:showSerName val="0"/>
          <c:showPercent val="0"/>
          <c:showBubbleSize val="0"/>
        </c:dLbls>
        <c:gapWidth val="20"/>
        <c:axId val="633200415"/>
        <c:axId val="633208319"/>
      </c:barChart>
      <c:catAx>
        <c:axId val="63320041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eorgia" panose="02040502050405020303" pitchFamily="18" charset="0"/>
                <a:ea typeface="+mn-ea"/>
                <a:cs typeface="+mn-cs"/>
              </a:defRPr>
            </a:pPr>
            <a:endParaRPr lang="en-NG"/>
          </a:p>
        </c:txPr>
        <c:crossAx val="633208319"/>
        <c:crosses val="autoZero"/>
        <c:auto val="1"/>
        <c:lblAlgn val="ctr"/>
        <c:lblOffset val="100"/>
        <c:noMultiLvlLbl val="0"/>
      </c:catAx>
      <c:valAx>
        <c:axId val="633208319"/>
        <c:scaling>
          <c:orientation val="minMax"/>
        </c:scaling>
        <c:delete val="1"/>
        <c:axPos val="b"/>
        <c:majorGridlines>
          <c:spPr>
            <a:ln w="9525" cap="flat" cmpd="sng" algn="ctr">
              <a:solidFill>
                <a:schemeClr val="bg1">
                  <a:lumMod val="95000"/>
                </a:schemeClr>
              </a:solidFill>
              <a:round/>
            </a:ln>
            <a:effectLst/>
          </c:spPr>
        </c:majorGridlines>
        <c:numFmt formatCode="0.00" sourceLinked="1"/>
        <c:majorTickMark val="none"/>
        <c:minorTickMark val="none"/>
        <c:tickLblPos val="nextTo"/>
        <c:crossAx val="633200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19B1.xlsx]Top 5 coffee by revenue!PivotTable6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eorgia" panose="02040502050405020303" pitchFamily="18" charset="0"/>
              </a:rPr>
              <a:t>Top 5 Coffee by</a:t>
            </a:r>
            <a:r>
              <a:rPr lang="en-US" baseline="0">
                <a:latin typeface="Georgia" panose="02040502050405020303" pitchFamily="18" charset="0"/>
              </a:rPr>
              <a:t> Revenue</a:t>
            </a:r>
            <a:endParaRPr lang="en-US">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2">
              <a:lumMod val="60000"/>
              <a:lumOff val="40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40000"/>
              <a:lumOff val="60000"/>
            </a:schemeClr>
          </a:solidFill>
          <a:ln>
            <a:noFill/>
          </a:ln>
          <a:effectLst/>
        </c:spPr>
      </c:pivotFmt>
      <c:pivotFmt>
        <c:idx val="5"/>
        <c:spPr>
          <a:solidFill>
            <a:schemeClr val="accent2">
              <a:lumMod val="40000"/>
              <a:lumOff val="60000"/>
            </a:schemeClr>
          </a:solidFill>
          <a:ln>
            <a:noFill/>
          </a:ln>
          <a:effectLst/>
        </c:spPr>
      </c:pivotFmt>
      <c:pivotFmt>
        <c:idx val="6"/>
        <c:spPr>
          <a:solidFill>
            <a:schemeClr val="accent2">
              <a:lumMod val="20000"/>
              <a:lumOff val="80000"/>
            </a:schemeClr>
          </a:solidFill>
          <a:ln>
            <a:noFill/>
          </a:ln>
          <a:effectLst/>
        </c:spPr>
      </c:pivotFmt>
      <c:pivotFmt>
        <c:idx val="7"/>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75000"/>
            </a:schemeClr>
          </a:solidFill>
          <a:ln>
            <a:noFill/>
          </a:ln>
          <a:effectLst/>
        </c:spPr>
      </c:pivotFmt>
      <c:pivotFmt>
        <c:idx val="9"/>
        <c:spPr>
          <a:solidFill>
            <a:schemeClr val="accent2">
              <a:lumMod val="60000"/>
              <a:lumOff val="40000"/>
            </a:schemeClr>
          </a:solidFill>
          <a:ln>
            <a:noFill/>
          </a:ln>
          <a:effectLst/>
        </c:spPr>
      </c:pivotFmt>
      <c:pivotFmt>
        <c:idx val="10"/>
        <c:spPr>
          <a:solidFill>
            <a:schemeClr val="accent2">
              <a:lumMod val="60000"/>
              <a:lumOff val="40000"/>
            </a:schemeClr>
          </a:solidFill>
          <a:ln>
            <a:noFill/>
          </a:ln>
          <a:effectLst/>
        </c:spPr>
      </c:pivotFmt>
      <c:pivotFmt>
        <c:idx val="11"/>
        <c:spPr>
          <a:solidFill>
            <a:schemeClr val="accent2">
              <a:lumMod val="40000"/>
              <a:lumOff val="60000"/>
            </a:schemeClr>
          </a:solidFill>
          <a:ln>
            <a:noFill/>
          </a:ln>
          <a:effectLst/>
        </c:spPr>
      </c:pivotFmt>
      <c:pivotFmt>
        <c:idx val="12"/>
        <c:spPr>
          <a:solidFill>
            <a:schemeClr val="accent2">
              <a:lumMod val="40000"/>
              <a:lumOff val="60000"/>
            </a:schemeClr>
          </a:solidFill>
          <a:ln>
            <a:noFill/>
          </a:ln>
          <a:effectLst/>
        </c:spPr>
      </c:pivotFmt>
      <c:pivotFmt>
        <c:idx val="13"/>
        <c:spPr>
          <a:solidFill>
            <a:schemeClr val="accent2">
              <a:lumMod val="20000"/>
              <a:lumOff val="80000"/>
            </a:schemeClr>
          </a:solidFill>
          <a:ln>
            <a:noFill/>
          </a:ln>
          <a:effectLst/>
        </c:spPr>
      </c:pivotFmt>
      <c:pivotFmt>
        <c:idx val="14"/>
        <c:spPr>
          <a:solidFill>
            <a:schemeClr val="accent2">
              <a:lumMod val="75000"/>
            </a:schemeClr>
          </a:solidFill>
          <a:ln>
            <a:noFill/>
          </a:ln>
          <a:effectLst/>
        </c:spPr>
      </c:pivotFmt>
      <c:pivotFmt>
        <c:idx val="15"/>
        <c:spPr>
          <a:solidFill>
            <a:schemeClr val="accent2">
              <a:lumMod val="20000"/>
              <a:lumOff val="80000"/>
            </a:schemeClr>
          </a:solidFill>
          <a:ln>
            <a:noFill/>
          </a:ln>
          <a:effectLst/>
        </c:spPr>
      </c:pivotFmt>
      <c:pivotFmt>
        <c:idx val="16"/>
        <c:spPr>
          <a:solidFill>
            <a:schemeClr val="accent2">
              <a:lumMod val="60000"/>
              <a:lumOff val="40000"/>
            </a:schemeClr>
          </a:solidFill>
          <a:ln>
            <a:noFill/>
          </a:ln>
          <a:effectLst/>
        </c:spPr>
      </c:pivotFmt>
      <c:pivotFmt>
        <c:idx val="17"/>
        <c:spPr>
          <a:solidFill>
            <a:schemeClr val="accent2">
              <a:lumMod val="50000"/>
            </a:schemeClr>
          </a:solidFill>
          <a:ln>
            <a:noFill/>
          </a:ln>
          <a:effectLst/>
        </c:spPr>
      </c:pivotFmt>
      <c:pivotFmt>
        <c:idx val="18"/>
        <c:spPr>
          <a:solidFill>
            <a:schemeClr val="accent2">
              <a:lumMod val="75000"/>
            </a:schemeClr>
          </a:solidFill>
          <a:ln>
            <a:noFill/>
          </a:ln>
          <a:effectLst/>
        </c:spPr>
      </c:pivotFmt>
      <c:pivotFmt>
        <c:idx val="19"/>
        <c:spPr>
          <a:solidFill>
            <a:schemeClr val="accent2">
              <a:lumMod val="40000"/>
              <a:lumOff val="60000"/>
            </a:schemeClr>
          </a:solidFill>
          <a:ln>
            <a:noFill/>
          </a:ln>
          <a:effectLst/>
        </c:spPr>
      </c:pivotFmt>
      <c:pivotFmt>
        <c:idx val="20"/>
        <c:spPr>
          <a:solidFill>
            <a:schemeClr val="accent2">
              <a:lumMod val="50000"/>
            </a:schemeClr>
          </a:solidFill>
          <a:ln>
            <a:noFill/>
          </a:ln>
          <a:effectLst/>
        </c:spPr>
      </c:pivotFmt>
    </c:pivotFmts>
    <c:plotArea>
      <c:layout/>
      <c:doughnutChart>
        <c:varyColors val="1"/>
        <c:ser>
          <c:idx val="0"/>
          <c:order val="0"/>
          <c:tx>
            <c:strRef>
              <c:f>'Top 5 coffee by revenue'!$B$3</c:f>
              <c:strCache>
                <c:ptCount val="1"/>
                <c:pt idx="0">
                  <c:v>Total</c:v>
                </c:pt>
              </c:strCache>
            </c:strRef>
          </c:tx>
          <c:spPr>
            <a:solidFill>
              <a:schemeClr val="accent2">
                <a:lumMod val="50000"/>
              </a:schemeClr>
            </a:solidFill>
          </c:spPr>
          <c:dPt>
            <c:idx val="0"/>
            <c:bubble3D val="0"/>
            <c:spPr>
              <a:solidFill>
                <a:schemeClr val="accent2">
                  <a:lumMod val="50000"/>
                </a:schemeClr>
              </a:solidFill>
              <a:ln>
                <a:noFill/>
              </a:ln>
              <a:effectLst/>
            </c:spPr>
            <c:extLst>
              <c:ext xmlns:c16="http://schemas.microsoft.com/office/drawing/2014/chart" uri="{C3380CC4-5D6E-409C-BE32-E72D297353CC}">
                <c16:uniqueId val="{0000000E-19DB-4BFF-86B3-DDF4A164523B}"/>
              </c:ext>
            </c:extLst>
          </c:dPt>
          <c:dPt>
            <c:idx val="1"/>
            <c:bubble3D val="0"/>
            <c:spPr>
              <a:solidFill>
                <a:schemeClr val="accent2">
                  <a:lumMod val="60000"/>
                  <a:lumOff val="40000"/>
                </a:schemeClr>
              </a:solidFill>
              <a:ln>
                <a:noFill/>
              </a:ln>
              <a:effectLst/>
            </c:spPr>
            <c:extLst>
              <c:ext xmlns:c16="http://schemas.microsoft.com/office/drawing/2014/chart" uri="{C3380CC4-5D6E-409C-BE32-E72D297353CC}">
                <c16:uniqueId val="{00000001-19DB-4BFF-86B3-DDF4A164523B}"/>
              </c:ext>
            </c:extLst>
          </c:dPt>
          <c:dPt>
            <c:idx val="2"/>
            <c:bubble3D val="0"/>
            <c:spPr>
              <a:solidFill>
                <a:schemeClr val="accent2">
                  <a:lumMod val="20000"/>
                  <a:lumOff val="80000"/>
                </a:schemeClr>
              </a:solidFill>
              <a:ln>
                <a:noFill/>
              </a:ln>
              <a:effectLst/>
            </c:spPr>
            <c:extLst>
              <c:ext xmlns:c16="http://schemas.microsoft.com/office/drawing/2014/chart" uri="{C3380CC4-5D6E-409C-BE32-E72D297353CC}">
                <c16:uniqueId val="{00000003-19DB-4BFF-86B3-DDF4A164523B}"/>
              </c:ext>
            </c:extLst>
          </c:dPt>
          <c:dPt>
            <c:idx val="3"/>
            <c:bubble3D val="0"/>
            <c:spPr>
              <a:solidFill>
                <a:schemeClr val="accent2">
                  <a:lumMod val="75000"/>
                </a:schemeClr>
              </a:solidFill>
              <a:ln>
                <a:noFill/>
              </a:ln>
              <a:effectLst/>
            </c:spPr>
            <c:extLst>
              <c:ext xmlns:c16="http://schemas.microsoft.com/office/drawing/2014/chart" uri="{C3380CC4-5D6E-409C-BE32-E72D297353CC}">
                <c16:uniqueId val="{00000005-19DB-4BFF-86B3-DDF4A164523B}"/>
              </c:ext>
            </c:extLst>
          </c:dPt>
          <c:dPt>
            <c:idx val="4"/>
            <c:bubble3D val="0"/>
            <c:spPr>
              <a:solidFill>
                <a:schemeClr val="accent2">
                  <a:lumMod val="75000"/>
                </a:schemeClr>
              </a:solidFill>
              <a:ln>
                <a:noFill/>
              </a:ln>
              <a:effectLst/>
            </c:spPr>
            <c:extLst>
              <c:ext xmlns:c16="http://schemas.microsoft.com/office/drawing/2014/chart" uri="{C3380CC4-5D6E-409C-BE32-E72D297353CC}">
                <c16:uniqueId val="{00000007-19DB-4BFF-86B3-DDF4A164523B}"/>
              </c:ext>
            </c:extLst>
          </c:dPt>
          <c:dPt>
            <c:idx val="5"/>
            <c:bubble3D val="0"/>
            <c:spPr>
              <a:solidFill>
                <a:schemeClr val="accent2">
                  <a:lumMod val="50000"/>
                </a:schemeClr>
              </a:solidFill>
              <a:ln>
                <a:noFill/>
              </a:ln>
              <a:effectLst/>
            </c:spPr>
            <c:extLst>
              <c:ext xmlns:c16="http://schemas.microsoft.com/office/drawing/2014/chart" uri="{C3380CC4-5D6E-409C-BE32-E72D297353CC}">
                <c16:uniqueId val="{00000009-19DB-4BFF-86B3-DDF4A164523B}"/>
              </c:ext>
            </c:extLst>
          </c:dPt>
          <c:dPt>
            <c:idx val="6"/>
            <c:bubble3D val="0"/>
            <c:spPr>
              <a:solidFill>
                <a:schemeClr val="accent2">
                  <a:lumMod val="50000"/>
                </a:schemeClr>
              </a:solidFill>
              <a:ln>
                <a:noFill/>
              </a:ln>
              <a:effectLst/>
            </c:spPr>
            <c:extLst>
              <c:ext xmlns:c16="http://schemas.microsoft.com/office/drawing/2014/chart" uri="{C3380CC4-5D6E-409C-BE32-E72D297353CC}">
                <c16:uniqueId val="{0000000B-19DB-4BFF-86B3-DDF4A164523B}"/>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coffee by revenue'!$A$4:$A$9</c:f>
              <c:strCache>
                <c:ptCount val="5"/>
                <c:pt idx="0">
                  <c:v>Coffee with Irish whiskey</c:v>
                </c:pt>
                <c:pt idx="1">
                  <c:v>Cappuccino</c:v>
                </c:pt>
                <c:pt idx="2">
                  <c:v>Irish whiskey</c:v>
                </c:pt>
                <c:pt idx="3">
                  <c:v>Latte</c:v>
                </c:pt>
                <c:pt idx="4">
                  <c:v>Americano with milk</c:v>
                </c:pt>
              </c:strCache>
            </c:strRef>
          </c:cat>
          <c:val>
            <c:numRef>
              <c:f>'Top 5 coffee by revenue'!$B$4:$B$9</c:f>
              <c:numCache>
                <c:formatCode>[$$-45C]#,##0.00</c:formatCode>
                <c:ptCount val="5"/>
                <c:pt idx="0">
                  <c:v>464</c:v>
                </c:pt>
                <c:pt idx="1">
                  <c:v>480</c:v>
                </c:pt>
                <c:pt idx="2">
                  <c:v>525</c:v>
                </c:pt>
                <c:pt idx="3">
                  <c:v>792</c:v>
                </c:pt>
                <c:pt idx="4">
                  <c:v>1100</c:v>
                </c:pt>
              </c:numCache>
            </c:numRef>
          </c:val>
          <c:extLst>
            <c:ext xmlns:c16="http://schemas.microsoft.com/office/drawing/2014/chart" uri="{C3380CC4-5D6E-409C-BE32-E72D297353CC}">
              <c16:uniqueId val="{0000000C-19DB-4BFF-86B3-DDF4A164523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8513320209973749"/>
          <c:y val="0.55679243219597563"/>
          <c:w val="0.28694903762029744"/>
          <c:h val="0.3472003499562554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Georgia" panose="02040502050405020303" pitchFamily="18" charset="0"/>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19B1.xlsx]Top 6 coffee by quantity!PivotTable6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eorgia" panose="02040502050405020303" pitchFamily="18" charset="0"/>
              </a:rPr>
              <a:t>Top 5 Coffee by</a:t>
            </a:r>
            <a:r>
              <a:rPr lang="en-US" baseline="0">
                <a:latin typeface="Georgia" panose="02040502050405020303" pitchFamily="18" charset="0"/>
              </a:rPr>
              <a:t> Revenue</a:t>
            </a:r>
            <a:endParaRPr lang="en-US">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2">
              <a:lumMod val="60000"/>
              <a:lumOff val="40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40000"/>
              <a:lumOff val="60000"/>
            </a:schemeClr>
          </a:solidFill>
          <a:ln>
            <a:noFill/>
          </a:ln>
          <a:effectLst/>
        </c:spPr>
      </c:pivotFmt>
      <c:pivotFmt>
        <c:idx val="5"/>
        <c:spPr>
          <a:solidFill>
            <a:schemeClr val="accent2">
              <a:lumMod val="40000"/>
              <a:lumOff val="60000"/>
            </a:schemeClr>
          </a:solidFill>
          <a:ln>
            <a:noFill/>
          </a:ln>
          <a:effectLst/>
        </c:spPr>
      </c:pivotFmt>
      <c:pivotFmt>
        <c:idx val="6"/>
        <c:spPr>
          <a:solidFill>
            <a:schemeClr val="accent2">
              <a:lumMod val="20000"/>
              <a:lumOff val="80000"/>
            </a:schemeClr>
          </a:solidFill>
          <a:ln>
            <a:noFill/>
          </a:ln>
          <a:effectLst/>
        </c:spPr>
      </c:pivotFmt>
      <c:pivotFmt>
        <c:idx val="7"/>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75000"/>
            </a:schemeClr>
          </a:solidFill>
          <a:ln>
            <a:noFill/>
          </a:ln>
          <a:effectLst/>
        </c:spPr>
      </c:pivotFmt>
      <c:pivotFmt>
        <c:idx val="9"/>
        <c:spPr>
          <a:solidFill>
            <a:schemeClr val="accent2">
              <a:lumMod val="60000"/>
              <a:lumOff val="40000"/>
            </a:schemeClr>
          </a:solidFill>
          <a:ln>
            <a:noFill/>
          </a:ln>
          <a:effectLst/>
        </c:spPr>
      </c:pivotFmt>
      <c:pivotFmt>
        <c:idx val="10"/>
        <c:spPr>
          <a:solidFill>
            <a:schemeClr val="accent2">
              <a:lumMod val="60000"/>
              <a:lumOff val="40000"/>
            </a:schemeClr>
          </a:solidFill>
          <a:ln>
            <a:noFill/>
          </a:ln>
          <a:effectLst/>
        </c:spPr>
      </c:pivotFmt>
      <c:pivotFmt>
        <c:idx val="11"/>
        <c:spPr>
          <a:solidFill>
            <a:schemeClr val="accent2">
              <a:lumMod val="40000"/>
              <a:lumOff val="60000"/>
            </a:schemeClr>
          </a:solidFill>
          <a:ln>
            <a:noFill/>
          </a:ln>
          <a:effectLst/>
        </c:spPr>
      </c:pivotFmt>
      <c:pivotFmt>
        <c:idx val="12"/>
        <c:spPr>
          <a:solidFill>
            <a:schemeClr val="accent2">
              <a:lumMod val="40000"/>
              <a:lumOff val="60000"/>
            </a:schemeClr>
          </a:solidFill>
          <a:ln>
            <a:noFill/>
          </a:ln>
          <a:effectLst/>
        </c:spPr>
      </c:pivotFmt>
      <c:pivotFmt>
        <c:idx val="13"/>
        <c:spPr>
          <a:solidFill>
            <a:schemeClr val="accent2">
              <a:lumMod val="20000"/>
              <a:lumOff val="80000"/>
            </a:schemeClr>
          </a:solidFill>
          <a:ln>
            <a:noFill/>
          </a:ln>
          <a:effectLst/>
        </c:spPr>
      </c:pivotFmt>
      <c:pivotFmt>
        <c:idx val="14"/>
        <c:spPr>
          <a:solidFill>
            <a:schemeClr val="accent2">
              <a:lumMod val="75000"/>
            </a:schemeClr>
          </a:solidFill>
          <a:ln>
            <a:noFill/>
          </a:ln>
          <a:effectLst/>
        </c:spPr>
      </c:pivotFmt>
      <c:pivotFmt>
        <c:idx val="15"/>
        <c:spPr>
          <a:solidFill>
            <a:schemeClr val="accent2">
              <a:lumMod val="60000"/>
              <a:lumOff val="40000"/>
            </a:schemeClr>
          </a:solidFill>
          <a:ln>
            <a:noFill/>
          </a:ln>
          <a:effectLst/>
        </c:spPr>
      </c:pivotFmt>
      <c:pivotFmt>
        <c:idx val="16"/>
        <c:spPr>
          <a:solidFill>
            <a:schemeClr val="accent2">
              <a:lumMod val="40000"/>
              <a:lumOff val="60000"/>
            </a:schemeClr>
          </a:solidFill>
          <a:ln>
            <a:noFill/>
          </a:ln>
          <a:effectLst/>
        </c:spPr>
      </c:pivotFmt>
      <c:pivotFmt>
        <c:idx val="17"/>
        <c:spPr>
          <a:solidFill>
            <a:schemeClr val="accent2">
              <a:lumMod val="20000"/>
              <a:lumOff val="80000"/>
            </a:schemeClr>
          </a:solidFill>
          <a:ln>
            <a:noFill/>
          </a:ln>
          <a:effectLst/>
        </c:spPr>
      </c:pivotFmt>
      <c:pivotFmt>
        <c:idx val="18"/>
        <c:spPr>
          <a:solidFill>
            <a:schemeClr val="accent2">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lumMod val="50000"/>
            </a:schemeClr>
          </a:solidFill>
          <a:ln>
            <a:noFill/>
          </a:ln>
          <a:effectLst/>
        </c:spPr>
      </c:pivotFmt>
      <c:pivotFmt>
        <c:idx val="21"/>
        <c:spPr>
          <a:solidFill>
            <a:schemeClr val="accent2">
              <a:lumMod val="75000"/>
            </a:schemeClr>
          </a:solidFill>
          <a:ln>
            <a:noFill/>
          </a:ln>
          <a:effectLst/>
        </c:spPr>
      </c:pivotFmt>
      <c:pivotFmt>
        <c:idx val="22"/>
        <c:spPr>
          <a:solidFill>
            <a:schemeClr val="accent2">
              <a:lumMod val="60000"/>
              <a:lumOff val="40000"/>
            </a:schemeClr>
          </a:solidFill>
          <a:ln>
            <a:noFill/>
          </a:ln>
          <a:effectLst/>
        </c:spPr>
      </c:pivotFmt>
      <c:pivotFmt>
        <c:idx val="23"/>
        <c:spPr>
          <a:solidFill>
            <a:schemeClr val="accent2">
              <a:lumMod val="40000"/>
              <a:lumOff val="60000"/>
            </a:schemeClr>
          </a:solidFill>
          <a:ln>
            <a:noFill/>
          </a:ln>
          <a:effectLst/>
        </c:spPr>
      </c:pivotFmt>
      <c:pivotFmt>
        <c:idx val="24"/>
        <c:spPr>
          <a:solidFill>
            <a:schemeClr val="accent2">
              <a:lumMod val="20000"/>
              <a:lumOff val="80000"/>
            </a:schemeClr>
          </a:solidFill>
          <a:ln>
            <a:noFill/>
          </a:ln>
          <a:effectLst/>
        </c:spPr>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pivotFmt>
      <c:pivotFmt>
        <c:idx val="73"/>
        <c:spPr>
          <a:solidFill>
            <a:schemeClr val="accent1"/>
          </a:solidFill>
          <a:ln>
            <a:noFill/>
          </a:ln>
          <a:effectLst/>
        </c:spPr>
      </c:pivotFmt>
      <c:pivotFmt>
        <c:idx val="74"/>
        <c:spPr>
          <a:solidFill>
            <a:schemeClr val="accent1"/>
          </a:solidFill>
          <a:ln>
            <a:noFill/>
          </a:ln>
          <a:effectLst/>
        </c:spPr>
      </c:pivotFmt>
      <c:pivotFmt>
        <c:idx val="75"/>
        <c:spPr>
          <a:solidFill>
            <a:schemeClr val="accent1"/>
          </a:solidFill>
          <a:ln>
            <a:noFill/>
          </a:ln>
          <a:effectLst/>
        </c:spPr>
      </c:pivotFmt>
      <c:pivotFmt>
        <c:idx val="76"/>
        <c:spPr>
          <a:solidFill>
            <a:schemeClr val="accent1"/>
          </a:solidFill>
          <a:ln>
            <a:noFill/>
          </a:ln>
          <a:effectLst/>
        </c:spPr>
      </c:pivotFmt>
      <c:pivotFmt>
        <c:idx val="77"/>
        <c:spPr>
          <a:solidFill>
            <a:schemeClr val="accent1"/>
          </a:solidFill>
          <a:ln>
            <a:noFill/>
          </a:ln>
          <a:effectLst/>
        </c:spPr>
      </c:pivotFmt>
      <c:pivotFmt>
        <c:idx val="78"/>
        <c:spPr>
          <a:solidFill>
            <a:schemeClr val="accent1"/>
          </a:solidFill>
          <a:ln>
            <a:noFill/>
          </a:ln>
          <a:effectLst/>
        </c:spPr>
      </c:pivotFmt>
      <c:pivotFmt>
        <c:idx val="79"/>
        <c:spPr>
          <a:solidFill>
            <a:schemeClr val="accent1"/>
          </a:solidFill>
          <a:ln>
            <a:noFill/>
          </a:ln>
          <a:effectLst/>
        </c:spPr>
      </c:pivotFmt>
      <c:pivotFmt>
        <c:idx val="80"/>
        <c:spPr>
          <a:solidFill>
            <a:schemeClr val="accent1"/>
          </a:solidFill>
          <a:ln>
            <a:noFill/>
          </a:ln>
          <a:effectLst/>
        </c:spPr>
      </c:pivotFmt>
      <c:pivotFmt>
        <c:idx val="81"/>
        <c:spPr>
          <a:solidFill>
            <a:schemeClr val="accent1"/>
          </a:solidFill>
          <a:ln>
            <a:noFill/>
          </a:ln>
          <a:effectLst/>
        </c:spPr>
      </c:pivotFmt>
      <c:pivotFmt>
        <c:idx val="82"/>
        <c:spPr>
          <a:solidFill>
            <a:schemeClr val="accent1"/>
          </a:solidFill>
          <a:ln>
            <a:noFill/>
          </a:ln>
          <a:effectLst/>
        </c:spPr>
      </c:pivotFmt>
      <c:pivotFmt>
        <c:idx val="83"/>
        <c:spPr>
          <a:solidFill>
            <a:schemeClr val="accent1"/>
          </a:solidFill>
          <a:ln>
            <a:noFill/>
          </a:ln>
          <a:effectLst/>
        </c:spPr>
      </c:pivotFmt>
      <c:pivotFmt>
        <c:idx val="84"/>
        <c:spPr>
          <a:solidFill>
            <a:schemeClr val="accent1"/>
          </a:solidFill>
          <a:ln>
            <a:noFill/>
          </a:ln>
          <a:effectLst/>
        </c:spPr>
      </c:pivotFmt>
      <c:pivotFmt>
        <c:idx val="85"/>
        <c:spPr>
          <a:solidFill>
            <a:schemeClr val="accent1"/>
          </a:solidFill>
          <a:ln>
            <a:noFill/>
          </a:ln>
          <a:effectLst/>
        </c:spPr>
      </c:pivotFmt>
      <c:pivotFmt>
        <c:idx val="86"/>
        <c:spPr>
          <a:solidFill>
            <a:schemeClr val="accent1"/>
          </a:solidFill>
          <a:ln>
            <a:noFill/>
          </a:ln>
          <a:effectLst/>
        </c:spPr>
      </c:pivotFmt>
      <c:pivotFmt>
        <c:idx val="87"/>
        <c:spPr>
          <a:solidFill>
            <a:schemeClr val="accent1"/>
          </a:solidFill>
          <a:ln>
            <a:noFill/>
          </a:ln>
          <a:effectLst/>
        </c:spPr>
      </c:pivotFmt>
      <c:pivotFmt>
        <c:idx val="88"/>
        <c:spPr>
          <a:solidFill>
            <a:schemeClr val="accent1"/>
          </a:solidFill>
          <a:ln>
            <a:noFill/>
          </a:ln>
          <a:effectLst/>
        </c:spPr>
      </c:pivotFmt>
      <c:pivotFmt>
        <c:idx val="89"/>
        <c:spPr>
          <a:solidFill>
            <a:schemeClr val="accent1"/>
          </a:solidFill>
          <a:ln>
            <a:noFill/>
          </a:ln>
          <a:effectLst/>
        </c:spPr>
      </c:pivotFmt>
      <c:pivotFmt>
        <c:idx val="90"/>
        <c:spPr>
          <a:solidFill>
            <a:schemeClr val="accent1"/>
          </a:solidFill>
          <a:ln>
            <a:noFill/>
          </a:ln>
          <a:effectLst/>
        </c:spPr>
      </c:pivotFmt>
      <c:pivotFmt>
        <c:idx val="91"/>
        <c:spPr>
          <a:solidFill>
            <a:schemeClr val="accent1"/>
          </a:solidFill>
          <a:ln>
            <a:noFill/>
          </a:ln>
          <a:effectLst/>
        </c:spPr>
      </c:pivotFmt>
      <c:pivotFmt>
        <c:idx val="92"/>
        <c:spPr>
          <a:solidFill>
            <a:schemeClr val="accent1"/>
          </a:solidFill>
          <a:ln>
            <a:noFill/>
          </a:ln>
          <a:effectLst/>
        </c:spPr>
      </c:pivotFmt>
      <c:pivotFmt>
        <c:idx val="93"/>
        <c:spPr>
          <a:solidFill>
            <a:schemeClr val="accent1"/>
          </a:solidFill>
          <a:ln>
            <a:noFill/>
          </a:ln>
          <a:effectLst/>
        </c:spPr>
      </c:pivotFmt>
      <c:pivotFmt>
        <c:idx val="94"/>
        <c:spPr>
          <a:solidFill>
            <a:schemeClr val="accent1"/>
          </a:solidFill>
          <a:ln>
            <a:noFill/>
          </a:ln>
          <a:effectLst/>
        </c:spPr>
      </c:pivotFmt>
      <c:pivotFmt>
        <c:idx val="95"/>
        <c:spPr>
          <a:solidFill>
            <a:schemeClr val="accent1"/>
          </a:solidFill>
          <a:ln>
            <a:noFill/>
          </a:ln>
          <a:effectLst/>
        </c:spPr>
      </c:pivotFmt>
      <c:pivotFmt>
        <c:idx val="96"/>
        <c:spPr>
          <a:solidFill>
            <a:schemeClr val="accent1"/>
          </a:solidFill>
          <a:ln>
            <a:noFill/>
          </a:ln>
          <a:effectLst/>
        </c:spPr>
      </c:pivotFmt>
      <c:pivotFmt>
        <c:idx val="97"/>
        <c:spPr>
          <a:solidFill>
            <a:schemeClr val="accent1"/>
          </a:solidFill>
          <a:ln>
            <a:noFill/>
          </a:ln>
          <a:effectLst/>
        </c:spPr>
      </c:pivotFmt>
      <c:pivotFmt>
        <c:idx val="98"/>
        <c:spPr>
          <a:solidFill>
            <a:schemeClr val="accent1"/>
          </a:solidFill>
          <a:ln>
            <a:noFill/>
          </a:ln>
          <a:effectLst/>
        </c:spPr>
      </c:pivotFmt>
      <c:pivotFmt>
        <c:idx val="99"/>
        <c:spPr>
          <a:solidFill>
            <a:schemeClr val="accent1"/>
          </a:solidFill>
          <a:ln>
            <a:noFill/>
          </a:ln>
          <a:effectLst/>
        </c:spPr>
      </c:pivotFmt>
      <c:pivotFmt>
        <c:idx val="100"/>
        <c:spPr>
          <a:solidFill>
            <a:schemeClr val="accent1"/>
          </a:solidFill>
          <a:ln>
            <a:noFill/>
          </a:ln>
          <a:effectLst/>
        </c:spPr>
      </c:pivotFmt>
      <c:pivotFmt>
        <c:idx val="101"/>
        <c:spPr>
          <a:solidFill>
            <a:schemeClr val="accent1"/>
          </a:solidFill>
          <a:ln>
            <a:noFill/>
          </a:ln>
          <a:effectLst/>
        </c:spPr>
      </c:pivotFmt>
    </c:pivotFmts>
    <c:plotArea>
      <c:layout/>
      <c:doughnutChart>
        <c:varyColors val="1"/>
        <c:ser>
          <c:idx val="0"/>
          <c:order val="0"/>
          <c:tx>
            <c:strRef>
              <c:f>'Top 6 coffee by quantity'!$B$3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FEBB-4BC1-A3CF-E1CF189BF486}"/>
              </c:ext>
            </c:extLst>
          </c:dPt>
          <c:dPt>
            <c:idx val="1"/>
            <c:bubble3D val="0"/>
            <c:spPr>
              <a:solidFill>
                <a:schemeClr val="accent2"/>
              </a:solidFill>
              <a:ln>
                <a:noFill/>
              </a:ln>
              <a:effectLst/>
            </c:spPr>
            <c:extLst>
              <c:ext xmlns:c16="http://schemas.microsoft.com/office/drawing/2014/chart" uri="{C3380CC4-5D6E-409C-BE32-E72D297353CC}">
                <c16:uniqueId val="{00000003-FEBB-4BC1-A3CF-E1CF189BF486}"/>
              </c:ext>
            </c:extLst>
          </c:dPt>
          <c:dPt>
            <c:idx val="2"/>
            <c:bubble3D val="0"/>
            <c:spPr>
              <a:solidFill>
                <a:schemeClr val="accent3"/>
              </a:solidFill>
              <a:ln>
                <a:noFill/>
              </a:ln>
              <a:effectLst/>
            </c:spPr>
            <c:extLst>
              <c:ext xmlns:c16="http://schemas.microsoft.com/office/drawing/2014/chart" uri="{C3380CC4-5D6E-409C-BE32-E72D297353CC}">
                <c16:uniqueId val="{00000005-FEBB-4BC1-A3CF-E1CF189BF486}"/>
              </c:ext>
            </c:extLst>
          </c:dPt>
          <c:dPt>
            <c:idx val="3"/>
            <c:bubble3D val="0"/>
            <c:spPr>
              <a:solidFill>
                <a:schemeClr val="accent4"/>
              </a:solidFill>
              <a:ln>
                <a:noFill/>
              </a:ln>
              <a:effectLst/>
            </c:spPr>
            <c:extLst>
              <c:ext xmlns:c16="http://schemas.microsoft.com/office/drawing/2014/chart" uri="{C3380CC4-5D6E-409C-BE32-E72D297353CC}">
                <c16:uniqueId val="{00000007-FEBB-4BC1-A3CF-E1CF189BF486}"/>
              </c:ext>
            </c:extLst>
          </c:dPt>
          <c:dPt>
            <c:idx val="4"/>
            <c:bubble3D val="0"/>
            <c:spPr>
              <a:solidFill>
                <a:schemeClr val="accent5"/>
              </a:solidFill>
              <a:ln>
                <a:noFill/>
              </a:ln>
              <a:effectLst/>
            </c:spPr>
            <c:extLst>
              <c:ext xmlns:c16="http://schemas.microsoft.com/office/drawing/2014/chart" uri="{C3380CC4-5D6E-409C-BE32-E72D297353CC}">
                <c16:uniqueId val="{00000009-FEBB-4BC1-A3CF-E1CF189BF486}"/>
              </c:ext>
            </c:extLst>
          </c:dPt>
          <c:dPt>
            <c:idx val="5"/>
            <c:bubble3D val="0"/>
            <c:spPr>
              <a:solidFill>
                <a:schemeClr val="accent6"/>
              </a:solidFill>
              <a:ln>
                <a:noFill/>
              </a:ln>
              <a:effectLst/>
            </c:spPr>
            <c:extLst>
              <c:ext xmlns:c16="http://schemas.microsoft.com/office/drawing/2014/chart" uri="{C3380CC4-5D6E-409C-BE32-E72D297353CC}">
                <c16:uniqueId val="{0000000B-FEBB-4BC1-A3CF-E1CF189BF486}"/>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FEBB-4BC1-A3CF-E1CF189BF486}"/>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A205-4462-8E3F-E99BA6B778E0}"/>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A205-4462-8E3F-E99BA6B778E0}"/>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A205-4462-8E3F-E99BA6B778E0}"/>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A205-4462-8E3F-E99BA6B778E0}"/>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A205-4462-8E3F-E99BA6B778E0}"/>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A205-4462-8E3F-E99BA6B778E0}"/>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A205-4462-8E3F-E99BA6B778E0}"/>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A205-4462-8E3F-E99BA6B778E0}"/>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A205-4462-8E3F-E99BA6B778E0}"/>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A205-4462-8E3F-E99BA6B778E0}"/>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A205-4462-8E3F-E99BA6B778E0}"/>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A205-4462-8E3F-E99BA6B778E0}"/>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27-A205-4462-8E3F-E99BA6B778E0}"/>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29-A205-4462-8E3F-E99BA6B778E0}"/>
              </c:ext>
            </c:extLst>
          </c:dPt>
          <c:dPt>
            <c:idx val="21"/>
            <c:bubble3D val="0"/>
            <c:spPr>
              <a:solidFill>
                <a:schemeClr val="accent4">
                  <a:lumMod val="80000"/>
                </a:schemeClr>
              </a:solidFill>
              <a:ln>
                <a:noFill/>
              </a:ln>
              <a:effectLst/>
            </c:spPr>
            <c:extLst>
              <c:ext xmlns:c16="http://schemas.microsoft.com/office/drawing/2014/chart" uri="{C3380CC4-5D6E-409C-BE32-E72D297353CC}">
                <c16:uniqueId val="{0000002B-A205-4462-8E3F-E99BA6B778E0}"/>
              </c:ext>
            </c:extLst>
          </c:dPt>
          <c:dPt>
            <c:idx val="22"/>
            <c:bubble3D val="0"/>
            <c:spPr>
              <a:solidFill>
                <a:schemeClr val="accent5">
                  <a:lumMod val="80000"/>
                </a:schemeClr>
              </a:solidFill>
              <a:ln>
                <a:noFill/>
              </a:ln>
              <a:effectLst/>
            </c:spPr>
            <c:extLst>
              <c:ext xmlns:c16="http://schemas.microsoft.com/office/drawing/2014/chart" uri="{C3380CC4-5D6E-409C-BE32-E72D297353CC}">
                <c16:uniqueId val="{0000002D-A205-4462-8E3F-E99BA6B778E0}"/>
              </c:ext>
            </c:extLst>
          </c:dPt>
          <c:dPt>
            <c:idx val="23"/>
            <c:bubble3D val="0"/>
            <c:spPr>
              <a:solidFill>
                <a:schemeClr val="accent6">
                  <a:lumMod val="80000"/>
                </a:schemeClr>
              </a:solidFill>
              <a:ln>
                <a:noFill/>
              </a:ln>
              <a:effectLst/>
            </c:spPr>
            <c:extLst>
              <c:ext xmlns:c16="http://schemas.microsoft.com/office/drawing/2014/chart" uri="{C3380CC4-5D6E-409C-BE32-E72D297353CC}">
                <c16:uniqueId val="{0000002F-A205-4462-8E3F-E99BA6B778E0}"/>
              </c:ext>
            </c:extLst>
          </c:dPt>
          <c:dPt>
            <c:idx val="24"/>
            <c:bubble3D val="0"/>
            <c:spPr>
              <a:solidFill>
                <a:schemeClr val="accent1">
                  <a:lumMod val="60000"/>
                  <a:lumOff val="40000"/>
                </a:schemeClr>
              </a:solidFill>
              <a:ln>
                <a:noFill/>
              </a:ln>
              <a:effectLst/>
            </c:spPr>
            <c:extLst>
              <c:ext xmlns:c16="http://schemas.microsoft.com/office/drawing/2014/chart" uri="{C3380CC4-5D6E-409C-BE32-E72D297353CC}">
                <c16:uniqueId val="{00000031-A205-4462-8E3F-E99BA6B778E0}"/>
              </c:ext>
            </c:extLst>
          </c:dPt>
          <c:dPt>
            <c:idx val="25"/>
            <c:bubble3D val="0"/>
            <c:spPr>
              <a:solidFill>
                <a:schemeClr val="accent2">
                  <a:lumMod val="60000"/>
                  <a:lumOff val="40000"/>
                </a:schemeClr>
              </a:solidFill>
              <a:ln>
                <a:noFill/>
              </a:ln>
              <a:effectLst/>
            </c:spPr>
            <c:extLst>
              <c:ext xmlns:c16="http://schemas.microsoft.com/office/drawing/2014/chart" uri="{C3380CC4-5D6E-409C-BE32-E72D297353CC}">
                <c16:uniqueId val="{00000033-A205-4462-8E3F-E99BA6B778E0}"/>
              </c:ext>
            </c:extLst>
          </c:dPt>
          <c:dPt>
            <c:idx val="26"/>
            <c:bubble3D val="0"/>
            <c:spPr>
              <a:solidFill>
                <a:schemeClr val="accent3">
                  <a:lumMod val="60000"/>
                  <a:lumOff val="40000"/>
                </a:schemeClr>
              </a:solidFill>
              <a:ln>
                <a:noFill/>
              </a:ln>
              <a:effectLst/>
            </c:spPr>
            <c:extLst>
              <c:ext xmlns:c16="http://schemas.microsoft.com/office/drawing/2014/chart" uri="{C3380CC4-5D6E-409C-BE32-E72D297353CC}">
                <c16:uniqueId val="{00000035-A205-4462-8E3F-E99BA6B778E0}"/>
              </c:ext>
            </c:extLst>
          </c:dPt>
          <c:dPt>
            <c:idx val="27"/>
            <c:bubble3D val="0"/>
            <c:spPr>
              <a:solidFill>
                <a:schemeClr val="accent4">
                  <a:lumMod val="60000"/>
                  <a:lumOff val="40000"/>
                </a:schemeClr>
              </a:solidFill>
              <a:ln>
                <a:noFill/>
              </a:ln>
              <a:effectLst/>
            </c:spPr>
            <c:extLst>
              <c:ext xmlns:c16="http://schemas.microsoft.com/office/drawing/2014/chart" uri="{C3380CC4-5D6E-409C-BE32-E72D297353CC}">
                <c16:uniqueId val="{00000037-A205-4462-8E3F-E99BA6B778E0}"/>
              </c:ext>
            </c:extLst>
          </c:dPt>
          <c:dPt>
            <c:idx val="28"/>
            <c:bubble3D val="0"/>
            <c:spPr>
              <a:solidFill>
                <a:schemeClr val="accent5">
                  <a:lumMod val="60000"/>
                  <a:lumOff val="40000"/>
                </a:schemeClr>
              </a:solidFill>
              <a:ln>
                <a:noFill/>
              </a:ln>
              <a:effectLst/>
            </c:spPr>
            <c:extLst>
              <c:ext xmlns:c16="http://schemas.microsoft.com/office/drawing/2014/chart" uri="{C3380CC4-5D6E-409C-BE32-E72D297353CC}">
                <c16:uniqueId val="{00000039-A205-4462-8E3F-E99BA6B778E0}"/>
              </c:ext>
            </c:extLst>
          </c:dPt>
          <c:dPt>
            <c:idx val="29"/>
            <c:bubble3D val="0"/>
            <c:spPr>
              <a:solidFill>
                <a:schemeClr val="accent6">
                  <a:lumMod val="60000"/>
                  <a:lumOff val="40000"/>
                </a:schemeClr>
              </a:solidFill>
              <a:ln>
                <a:noFill/>
              </a:ln>
              <a:effectLst/>
            </c:spPr>
            <c:extLst>
              <c:ext xmlns:c16="http://schemas.microsoft.com/office/drawing/2014/chart" uri="{C3380CC4-5D6E-409C-BE32-E72D297353CC}">
                <c16:uniqueId val="{0000003B-A205-4462-8E3F-E99BA6B778E0}"/>
              </c:ext>
            </c:extLst>
          </c:dPt>
          <c:cat>
            <c:strRef>
              <c:f>'Top 6 coffee by quantity'!$A$4:$A$34</c:f>
              <c:strCache>
                <c:ptCount val="30"/>
                <c:pt idx="0">
                  <c:v>Americano with milk</c:v>
                </c:pt>
                <c:pt idx="1">
                  <c:v>Latte</c:v>
                </c:pt>
                <c:pt idx="2">
                  <c:v>Irish whiskey</c:v>
                </c:pt>
                <c:pt idx="3">
                  <c:v>Espresso</c:v>
                </c:pt>
                <c:pt idx="4">
                  <c:v>Tea</c:v>
                </c:pt>
                <c:pt idx="5">
                  <c:v>Cappuccino</c:v>
                </c:pt>
                <c:pt idx="6">
                  <c:v>Coffee with Irish whiskey</c:v>
                </c:pt>
                <c:pt idx="7">
                  <c:v>Irish whiskey with milk</c:v>
                </c:pt>
                <c:pt idx="8">
                  <c:v>Americano</c:v>
                </c:pt>
                <c:pt idx="9">
                  <c:v>Chocolate with milk</c:v>
                </c:pt>
                <c:pt idx="10">
                  <c:v>Double Irish whiskey</c:v>
                </c:pt>
                <c:pt idx="11">
                  <c:v>Caramel with Irish whiskey</c:v>
                </c:pt>
                <c:pt idx="12">
                  <c:v>Super chocolate</c:v>
                </c:pt>
                <c:pt idx="13">
                  <c:v>Irish with chocolate</c:v>
                </c:pt>
                <c:pt idx="14">
                  <c:v>Mochaccino</c:v>
                </c:pt>
                <c:pt idx="15">
                  <c:v>Chocolate with coffee</c:v>
                </c:pt>
                <c:pt idx="16">
                  <c:v>Caramel with chocolate</c:v>
                </c:pt>
                <c:pt idx="17">
                  <c:v>Caramel with milk</c:v>
                </c:pt>
                <c:pt idx="18">
                  <c:v>Vanilla with Irish whiskey</c:v>
                </c:pt>
                <c:pt idx="19">
                  <c:v>Caramel coffee</c:v>
                </c:pt>
                <c:pt idx="20">
                  <c:v>Double espresso with milk</c:v>
                </c:pt>
                <c:pt idx="21">
                  <c:v>Double vanilla</c:v>
                </c:pt>
                <c:pt idx="22">
                  <c:v>Double ristretto</c:v>
                </c:pt>
                <c:pt idx="23">
                  <c:v>Chocolate</c:v>
                </c:pt>
                <c:pt idx="24">
                  <c:v>Double chocolate</c:v>
                </c:pt>
                <c:pt idx="25">
                  <c:v>Coffee with chocolate</c:v>
                </c:pt>
                <c:pt idx="26">
                  <c:v>Vanilla coffee</c:v>
                </c:pt>
                <c:pt idx="27">
                  <c:v>Caramel</c:v>
                </c:pt>
                <c:pt idx="28">
                  <c:v>Hot milkshake</c:v>
                </c:pt>
                <c:pt idx="29">
                  <c:v>Double espresso</c:v>
                </c:pt>
              </c:strCache>
            </c:strRef>
          </c:cat>
          <c:val>
            <c:numRef>
              <c:f>'Top 6 coffee by quantity'!$B$4:$B$34</c:f>
              <c:numCache>
                <c:formatCode>0</c:formatCode>
                <c:ptCount val="30"/>
                <c:pt idx="0">
                  <c:v>44</c:v>
                </c:pt>
                <c:pt idx="1">
                  <c:v>24</c:v>
                </c:pt>
                <c:pt idx="2">
                  <c:v>21</c:v>
                </c:pt>
                <c:pt idx="3">
                  <c:v>18</c:v>
                </c:pt>
                <c:pt idx="4">
                  <c:v>16</c:v>
                </c:pt>
                <c:pt idx="5">
                  <c:v>16</c:v>
                </c:pt>
                <c:pt idx="6">
                  <c:v>16</c:v>
                </c:pt>
                <c:pt idx="7">
                  <c:v>15</c:v>
                </c:pt>
                <c:pt idx="8">
                  <c:v>15</c:v>
                </c:pt>
                <c:pt idx="9">
                  <c:v>12</c:v>
                </c:pt>
                <c:pt idx="10">
                  <c:v>12</c:v>
                </c:pt>
                <c:pt idx="11">
                  <c:v>8</c:v>
                </c:pt>
                <c:pt idx="12">
                  <c:v>6</c:v>
                </c:pt>
                <c:pt idx="13">
                  <c:v>5</c:v>
                </c:pt>
                <c:pt idx="14">
                  <c:v>5</c:v>
                </c:pt>
                <c:pt idx="15">
                  <c:v>5</c:v>
                </c:pt>
                <c:pt idx="16">
                  <c:v>4</c:v>
                </c:pt>
                <c:pt idx="17">
                  <c:v>3</c:v>
                </c:pt>
                <c:pt idx="18">
                  <c:v>3</c:v>
                </c:pt>
                <c:pt idx="19">
                  <c:v>2</c:v>
                </c:pt>
                <c:pt idx="20">
                  <c:v>2</c:v>
                </c:pt>
                <c:pt idx="21">
                  <c:v>2</c:v>
                </c:pt>
                <c:pt idx="22">
                  <c:v>1</c:v>
                </c:pt>
                <c:pt idx="23">
                  <c:v>1</c:v>
                </c:pt>
                <c:pt idx="24">
                  <c:v>1</c:v>
                </c:pt>
                <c:pt idx="25">
                  <c:v>1</c:v>
                </c:pt>
                <c:pt idx="26">
                  <c:v>1</c:v>
                </c:pt>
                <c:pt idx="27">
                  <c:v>1</c:v>
                </c:pt>
                <c:pt idx="28">
                  <c:v>1</c:v>
                </c:pt>
                <c:pt idx="29">
                  <c:v>1</c:v>
                </c:pt>
              </c:numCache>
            </c:numRef>
          </c:val>
          <c:extLst>
            <c:ext xmlns:c16="http://schemas.microsoft.com/office/drawing/2014/chart" uri="{C3380CC4-5D6E-409C-BE32-E72D297353CC}">
              <c16:uniqueId val="{00000010-15D3-4F9C-8CB7-446527687F02}"/>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8513320209973749"/>
          <c:y val="0.55679243219597563"/>
          <c:w val="0.29820013123359579"/>
          <c:h val="0.443207567804024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19B1.xlsx]Revenue by month!PivotTable6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eorgia" panose="02040502050405020303" pitchFamily="18" charset="0"/>
              </a:rPr>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2">
              <a:lumMod val="60000"/>
              <a:lumOff val="40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40000"/>
              <a:lumOff val="60000"/>
            </a:schemeClr>
          </a:solidFill>
          <a:ln>
            <a:noFill/>
          </a:ln>
          <a:effectLst/>
        </c:spPr>
      </c:pivotFmt>
      <c:pivotFmt>
        <c:idx val="5"/>
        <c:spPr>
          <a:solidFill>
            <a:schemeClr val="accent2">
              <a:lumMod val="40000"/>
              <a:lumOff val="60000"/>
            </a:schemeClr>
          </a:solidFill>
          <a:ln>
            <a:noFill/>
          </a:ln>
          <a:effectLst/>
        </c:spPr>
      </c:pivotFmt>
      <c:pivotFmt>
        <c:idx val="6"/>
        <c:spPr>
          <a:solidFill>
            <a:schemeClr val="accent2">
              <a:lumMod val="20000"/>
              <a:lumOff val="80000"/>
            </a:schemeClr>
          </a:solidFill>
          <a:ln>
            <a:noFill/>
          </a:ln>
          <a:effectLst/>
        </c:spPr>
      </c:pivotFmt>
      <c:pivotFmt>
        <c:idx val="7"/>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75000"/>
            </a:schemeClr>
          </a:solidFill>
          <a:ln>
            <a:noFill/>
          </a:ln>
          <a:effectLst/>
        </c:spPr>
      </c:pivotFmt>
      <c:pivotFmt>
        <c:idx val="9"/>
        <c:spPr>
          <a:solidFill>
            <a:schemeClr val="accent2">
              <a:lumMod val="60000"/>
              <a:lumOff val="40000"/>
            </a:schemeClr>
          </a:solidFill>
          <a:ln>
            <a:noFill/>
          </a:ln>
          <a:effectLst/>
        </c:spPr>
      </c:pivotFmt>
      <c:pivotFmt>
        <c:idx val="10"/>
        <c:spPr>
          <a:solidFill>
            <a:schemeClr val="accent2">
              <a:lumMod val="60000"/>
              <a:lumOff val="40000"/>
            </a:schemeClr>
          </a:solidFill>
          <a:ln>
            <a:noFill/>
          </a:ln>
          <a:effectLst/>
        </c:spPr>
      </c:pivotFmt>
      <c:pivotFmt>
        <c:idx val="11"/>
        <c:spPr>
          <a:solidFill>
            <a:schemeClr val="accent2">
              <a:lumMod val="40000"/>
              <a:lumOff val="60000"/>
            </a:schemeClr>
          </a:solidFill>
          <a:ln>
            <a:noFill/>
          </a:ln>
          <a:effectLst/>
        </c:spPr>
      </c:pivotFmt>
      <c:pivotFmt>
        <c:idx val="12"/>
        <c:spPr>
          <a:solidFill>
            <a:schemeClr val="accent2">
              <a:lumMod val="40000"/>
              <a:lumOff val="60000"/>
            </a:schemeClr>
          </a:solidFill>
          <a:ln>
            <a:noFill/>
          </a:ln>
          <a:effectLst/>
        </c:spPr>
      </c:pivotFmt>
      <c:pivotFmt>
        <c:idx val="13"/>
        <c:spPr>
          <a:solidFill>
            <a:schemeClr val="accent2">
              <a:lumMod val="20000"/>
              <a:lumOff val="80000"/>
            </a:schemeClr>
          </a:solidFill>
          <a:ln>
            <a:noFill/>
          </a:ln>
          <a:effectLst/>
        </c:spPr>
      </c:pivotFmt>
      <c:pivotFmt>
        <c:idx val="14"/>
        <c:spPr>
          <a:solidFill>
            <a:schemeClr val="accent2">
              <a:lumMod val="75000"/>
            </a:schemeClr>
          </a:solidFill>
          <a:ln>
            <a:noFill/>
          </a:ln>
          <a:effectLst/>
        </c:spPr>
      </c:pivotFmt>
      <c:pivotFmt>
        <c:idx val="15"/>
        <c:spPr>
          <a:solidFill>
            <a:schemeClr val="accent2">
              <a:lumMod val="60000"/>
              <a:lumOff val="40000"/>
            </a:schemeClr>
          </a:solidFill>
          <a:ln>
            <a:noFill/>
          </a:ln>
          <a:effectLst/>
        </c:spPr>
      </c:pivotFmt>
      <c:pivotFmt>
        <c:idx val="16"/>
        <c:spPr>
          <a:solidFill>
            <a:schemeClr val="accent2">
              <a:lumMod val="40000"/>
              <a:lumOff val="60000"/>
            </a:schemeClr>
          </a:solidFill>
          <a:ln>
            <a:noFill/>
          </a:ln>
          <a:effectLst/>
        </c:spPr>
      </c:pivotFmt>
      <c:pivotFmt>
        <c:idx val="17"/>
        <c:spPr>
          <a:solidFill>
            <a:schemeClr val="accent2">
              <a:lumMod val="20000"/>
              <a:lumOff val="80000"/>
            </a:schemeClr>
          </a:solidFill>
          <a:ln>
            <a:noFill/>
          </a:ln>
          <a:effectLst/>
        </c:spPr>
      </c:pivotFmt>
      <c:pivotFmt>
        <c:idx val="18"/>
        <c:spPr>
          <a:solidFill>
            <a:schemeClr val="accent2">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lumMod val="50000"/>
            </a:schemeClr>
          </a:solidFill>
          <a:ln>
            <a:noFill/>
          </a:ln>
          <a:effectLst/>
        </c:spPr>
      </c:pivotFmt>
      <c:pivotFmt>
        <c:idx val="21"/>
        <c:spPr>
          <a:solidFill>
            <a:schemeClr val="accent2">
              <a:lumMod val="75000"/>
            </a:schemeClr>
          </a:solidFill>
          <a:ln>
            <a:noFill/>
          </a:ln>
          <a:effectLst/>
        </c:spPr>
      </c:pivotFmt>
      <c:pivotFmt>
        <c:idx val="22"/>
        <c:spPr>
          <a:solidFill>
            <a:schemeClr val="accent2">
              <a:lumMod val="60000"/>
              <a:lumOff val="40000"/>
            </a:schemeClr>
          </a:solidFill>
          <a:ln>
            <a:noFill/>
          </a:ln>
          <a:effectLst/>
        </c:spPr>
      </c:pivotFmt>
      <c:pivotFmt>
        <c:idx val="23"/>
        <c:spPr>
          <a:solidFill>
            <a:schemeClr val="accent2">
              <a:lumMod val="40000"/>
              <a:lumOff val="60000"/>
            </a:schemeClr>
          </a:solidFill>
          <a:ln>
            <a:noFill/>
          </a:ln>
          <a:effectLst/>
        </c:spPr>
      </c:pivotFmt>
      <c:pivotFmt>
        <c:idx val="24"/>
        <c:spPr>
          <a:solidFill>
            <a:schemeClr val="accent2">
              <a:lumMod val="20000"/>
              <a:lumOff val="80000"/>
            </a:schemeClr>
          </a:solidFill>
          <a:ln>
            <a:noFill/>
          </a:ln>
          <a:effectLst/>
        </c:spPr>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lumMod val="50000"/>
            </a:schemeClr>
          </a:solidFill>
          <a:ln>
            <a:noFill/>
          </a:ln>
          <a:effectLst/>
        </c:spPr>
        <c:dLbl>
          <c:idx val="0"/>
          <c:layout>
            <c:manualLayout>
              <c:x val="0.10833333333333334"/>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lumMod val="60000"/>
              <a:lumOff val="40000"/>
            </a:schemeClr>
          </a:solidFill>
          <a:ln>
            <a:noFill/>
          </a:ln>
          <a:effectLst/>
        </c:spPr>
        <c:dLbl>
          <c:idx val="0"/>
          <c:layout>
            <c:manualLayout>
              <c:x val="-0.12777777777777777"/>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'Revenue by month'!$B$3</c:f>
              <c:strCache>
                <c:ptCount val="1"/>
                <c:pt idx="0">
                  <c:v>Total</c:v>
                </c:pt>
              </c:strCache>
            </c:strRef>
          </c:tx>
          <c:dPt>
            <c:idx val="0"/>
            <c:bubble3D val="0"/>
            <c:spPr>
              <a:solidFill>
                <a:schemeClr val="accent2">
                  <a:lumMod val="50000"/>
                </a:schemeClr>
              </a:solidFill>
              <a:ln>
                <a:noFill/>
              </a:ln>
              <a:effectLst/>
            </c:spPr>
            <c:extLst>
              <c:ext xmlns:c16="http://schemas.microsoft.com/office/drawing/2014/chart" uri="{C3380CC4-5D6E-409C-BE32-E72D297353CC}">
                <c16:uniqueId val="{00000011-182F-438E-943A-F158F57D9ED4}"/>
              </c:ext>
            </c:extLst>
          </c:dPt>
          <c:dPt>
            <c:idx val="1"/>
            <c:bubble3D val="0"/>
            <c:spPr>
              <a:solidFill>
                <a:schemeClr val="accent2">
                  <a:lumMod val="60000"/>
                  <a:lumOff val="40000"/>
                </a:schemeClr>
              </a:solidFill>
              <a:ln>
                <a:noFill/>
              </a:ln>
              <a:effectLst/>
            </c:spPr>
            <c:extLst>
              <c:ext xmlns:c16="http://schemas.microsoft.com/office/drawing/2014/chart" uri="{C3380CC4-5D6E-409C-BE32-E72D297353CC}">
                <c16:uniqueId val="{00000012-182F-438E-943A-F158F57D9ED4}"/>
              </c:ext>
            </c:extLst>
          </c:dPt>
          <c:dLbls>
            <c:dLbl>
              <c:idx val="0"/>
              <c:layout>
                <c:manualLayout>
                  <c:x val="0.10833333333333334"/>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182F-438E-943A-F158F57D9ED4}"/>
                </c:ext>
              </c:extLst>
            </c:dLbl>
            <c:dLbl>
              <c:idx val="1"/>
              <c:layout>
                <c:manualLayout>
                  <c:x val="-0.12777777777777777"/>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182F-438E-943A-F158F57D9ED4}"/>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month'!$A$4:$A$6</c:f>
              <c:strCache>
                <c:ptCount val="2"/>
                <c:pt idx="0">
                  <c:v>Feb</c:v>
                </c:pt>
                <c:pt idx="1">
                  <c:v>Mar</c:v>
                </c:pt>
              </c:strCache>
            </c:strRef>
          </c:cat>
          <c:val>
            <c:numRef>
              <c:f>'Revenue by month'!$B$4:$B$6</c:f>
              <c:numCache>
                <c:formatCode>0.00%</c:formatCode>
                <c:ptCount val="2"/>
                <c:pt idx="0">
                  <c:v>0.52089985486211898</c:v>
                </c:pt>
                <c:pt idx="1">
                  <c:v>0.47910014513788096</c:v>
                </c:pt>
              </c:numCache>
            </c:numRef>
          </c:val>
          <c:extLst>
            <c:ext xmlns:c16="http://schemas.microsoft.com/office/drawing/2014/chart" uri="{C3380CC4-5D6E-409C-BE32-E72D297353CC}">
              <c16:uniqueId val="{00000010-182F-438E-943A-F158F57D9ED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8791097987751535"/>
          <c:y val="0.61234798775153099"/>
          <c:w val="0.10842104111986002"/>
          <c:h val="0.1562510936132983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Georgia" panose="02040502050405020303" pitchFamily="18" charset="0"/>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19B1.xlsx]Top hour by highest revenue!PivotTable6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Georgia" panose="02040502050405020303" pitchFamily="18" charset="0"/>
                <a:ea typeface="+mn-ea"/>
                <a:cs typeface="+mn-cs"/>
              </a:defRPr>
            </a:pPr>
            <a:r>
              <a:rPr lang="en-US">
                <a:latin typeface="Georgia" panose="02040502050405020303" pitchFamily="18" charset="0"/>
              </a:rPr>
              <a:t>Top Hour</a:t>
            </a:r>
            <a:r>
              <a:rPr lang="en-US" baseline="0">
                <a:latin typeface="Georgia" panose="02040502050405020303" pitchFamily="18" charset="0"/>
              </a:rPr>
              <a:t> by Highest Revenue</a:t>
            </a:r>
            <a:endParaRPr lang="en-US">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Georgia" panose="02040502050405020303" pitchFamily="18" charset="0"/>
              <a:ea typeface="+mn-ea"/>
              <a:cs typeface="+mn-cs"/>
            </a:defRPr>
          </a:pPr>
          <a:endParaRPr lang="en-NG"/>
        </a:p>
      </c:txPr>
    </c:title>
    <c:autoTitleDeleted val="0"/>
    <c:pivotFmts>
      <c:pivotFmt>
        <c:idx val="0"/>
        <c:spPr>
          <a:solidFill>
            <a:schemeClr val="accent2">
              <a:lumMod val="50000"/>
            </a:schemeClr>
          </a:solidFill>
          <a:ln>
            <a:solidFill>
              <a:schemeClr val="accent2">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'Top hour by highest revenue'!$B$3</c:f>
              <c:strCache>
                <c:ptCount val="1"/>
                <c:pt idx="0">
                  <c:v>Total</c:v>
                </c:pt>
              </c:strCache>
            </c:strRef>
          </c:tx>
          <c:spPr>
            <a:solidFill>
              <a:schemeClr val="accent2">
                <a:lumMod val="50000"/>
              </a:schemeClr>
            </a:solidFill>
            <a:ln>
              <a:solidFill>
                <a:schemeClr val="accent2">
                  <a:lumMod val="60000"/>
                  <a:lumOff val="40000"/>
                </a:schemeClr>
              </a:solidFill>
            </a:ln>
            <a:effectLst/>
          </c:spPr>
          <c:cat>
            <c:strRef>
              <c:f>'Top hour by highest revenue'!$A$4:$A$10</c:f>
              <c:strCache>
                <c:ptCount val="6"/>
                <c:pt idx="0">
                  <c:v>18:01:22</c:v>
                </c:pt>
                <c:pt idx="1">
                  <c:v>18:38:38</c:v>
                </c:pt>
                <c:pt idx="2">
                  <c:v>12:48:05</c:v>
                </c:pt>
                <c:pt idx="3">
                  <c:v>15:42:11</c:v>
                </c:pt>
                <c:pt idx="4">
                  <c:v>09:41:12</c:v>
                </c:pt>
                <c:pt idx="5">
                  <c:v>10:25:48</c:v>
                </c:pt>
              </c:strCache>
            </c:strRef>
          </c:cat>
          <c:val>
            <c:numRef>
              <c:f>'Top hour by highest revenue'!$B$4:$B$10</c:f>
              <c:numCache>
                <c:formatCode>[$$-45C]#,##0.00</c:formatCode>
                <c:ptCount val="6"/>
                <c:pt idx="0">
                  <c:v>73</c:v>
                </c:pt>
                <c:pt idx="1">
                  <c:v>58</c:v>
                </c:pt>
                <c:pt idx="2">
                  <c:v>58</c:v>
                </c:pt>
                <c:pt idx="3">
                  <c:v>50</c:v>
                </c:pt>
                <c:pt idx="4">
                  <c:v>50</c:v>
                </c:pt>
                <c:pt idx="5">
                  <c:v>50</c:v>
                </c:pt>
              </c:numCache>
            </c:numRef>
          </c:val>
          <c:extLst>
            <c:ext xmlns:c16="http://schemas.microsoft.com/office/drawing/2014/chart" uri="{C3380CC4-5D6E-409C-BE32-E72D297353CC}">
              <c16:uniqueId val="{00000000-6428-4524-9F85-EB8658142EA8}"/>
            </c:ext>
          </c:extLst>
        </c:ser>
        <c:dLbls>
          <c:showLegendKey val="0"/>
          <c:showVal val="0"/>
          <c:showCatName val="0"/>
          <c:showSerName val="0"/>
          <c:showPercent val="0"/>
          <c:showBubbleSize val="0"/>
        </c:dLbls>
        <c:axId val="433900383"/>
        <c:axId val="433887903"/>
      </c:areaChart>
      <c:catAx>
        <c:axId val="433900383"/>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eorgia" panose="02040502050405020303" pitchFamily="18" charset="0"/>
                <a:ea typeface="+mn-ea"/>
                <a:cs typeface="+mn-cs"/>
              </a:defRPr>
            </a:pPr>
            <a:endParaRPr lang="en-NG"/>
          </a:p>
        </c:txPr>
        <c:crossAx val="433887903"/>
        <c:crosses val="autoZero"/>
        <c:auto val="1"/>
        <c:lblAlgn val="ctr"/>
        <c:lblOffset val="100"/>
        <c:noMultiLvlLbl val="0"/>
      </c:catAx>
      <c:valAx>
        <c:axId val="433887903"/>
        <c:scaling>
          <c:orientation val="minMax"/>
        </c:scaling>
        <c:delete val="0"/>
        <c:axPos val="l"/>
        <c:majorGridlines>
          <c:spPr>
            <a:ln w="9525" cap="flat" cmpd="sng" algn="ctr">
              <a:solidFill>
                <a:schemeClr val="bg1">
                  <a:lumMod val="95000"/>
                </a:schemeClr>
              </a:solidFill>
              <a:round/>
            </a:ln>
            <a:effectLst/>
          </c:spPr>
        </c:majorGridlines>
        <c:numFmt formatCode="[$$-45C]#,##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eorgia" panose="02040502050405020303" pitchFamily="18" charset="0"/>
                <a:ea typeface="+mn-ea"/>
                <a:cs typeface="+mn-cs"/>
              </a:defRPr>
            </a:pPr>
            <a:endParaRPr lang="en-NG"/>
          </a:p>
        </c:txPr>
        <c:crossAx val="43390038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19B1.xlsx]Top hour by quantity sold!PivotTable6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Georgia" panose="02040502050405020303" pitchFamily="18" charset="0"/>
                <a:ea typeface="+mn-ea"/>
                <a:cs typeface="+mn-cs"/>
              </a:defRPr>
            </a:pPr>
            <a:r>
              <a:rPr lang="en-US">
                <a:latin typeface="Georgia" panose="02040502050405020303" pitchFamily="18" charset="0"/>
              </a:rPr>
              <a:t>Top Hour</a:t>
            </a:r>
            <a:r>
              <a:rPr lang="en-US" baseline="0">
                <a:latin typeface="Georgia" panose="02040502050405020303" pitchFamily="18" charset="0"/>
              </a:rPr>
              <a:t> with Highest Quantity</a:t>
            </a:r>
            <a:endParaRPr lang="en-US">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Georgia" panose="02040502050405020303" pitchFamily="18" charset="0"/>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w="25400">
            <a:solidFill>
              <a:schemeClr val="accent2">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'Top hour by quantity sold'!$B$3</c:f>
              <c:strCache>
                <c:ptCount val="1"/>
                <c:pt idx="0">
                  <c:v>Total</c:v>
                </c:pt>
              </c:strCache>
            </c:strRef>
          </c:tx>
          <c:spPr>
            <a:solidFill>
              <a:schemeClr val="accent2">
                <a:lumMod val="50000"/>
              </a:schemeClr>
            </a:solidFill>
            <a:ln w="25400">
              <a:solidFill>
                <a:schemeClr val="accent2">
                  <a:lumMod val="40000"/>
                  <a:lumOff val="60000"/>
                </a:schemeClr>
              </a:solidFill>
            </a:ln>
            <a:effectLst/>
          </c:spPr>
          <c:cat>
            <c:strRef>
              <c:f>'Top hour by quantity sold'!$A$4:$A$12</c:f>
              <c:strCache>
                <c:ptCount val="8"/>
                <c:pt idx="0">
                  <c:v>18:01:22</c:v>
                </c:pt>
                <c:pt idx="1">
                  <c:v>15:42:11</c:v>
                </c:pt>
                <c:pt idx="2">
                  <c:v>18:38:38</c:v>
                </c:pt>
                <c:pt idx="3">
                  <c:v>09:41:12</c:v>
                </c:pt>
                <c:pt idx="4">
                  <c:v>16:41:18</c:v>
                </c:pt>
                <c:pt idx="5">
                  <c:v>10:25:48</c:v>
                </c:pt>
                <c:pt idx="6">
                  <c:v>09:36:06</c:v>
                </c:pt>
                <c:pt idx="7">
                  <c:v>12:48:05</c:v>
                </c:pt>
              </c:strCache>
            </c:strRef>
          </c:cat>
          <c:val>
            <c:numRef>
              <c:f>'Top hour by quantity sold'!$B$4:$B$12</c:f>
              <c:numCache>
                <c:formatCode>0.00</c:formatCode>
                <c:ptCount val="8"/>
                <c:pt idx="0">
                  <c:v>3</c:v>
                </c:pt>
                <c:pt idx="1">
                  <c:v>2</c:v>
                </c:pt>
                <c:pt idx="2">
                  <c:v>2</c:v>
                </c:pt>
                <c:pt idx="3">
                  <c:v>2</c:v>
                </c:pt>
                <c:pt idx="4">
                  <c:v>2</c:v>
                </c:pt>
                <c:pt idx="5">
                  <c:v>2</c:v>
                </c:pt>
                <c:pt idx="6">
                  <c:v>2</c:v>
                </c:pt>
                <c:pt idx="7">
                  <c:v>2</c:v>
                </c:pt>
              </c:numCache>
            </c:numRef>
          </c:val>
          <c:extLst>
            <c:ext xmlns:c16="http://schemas.microsoft.com/office/drawing/2014/chart" uri="{C3380CC4-5D6E-409C-BE32-E72D297353CC}">
              <c16:uniqueId val="{00000002-B4FB-4407-9545-EDF1DBD5FEA6}"/>
            </c:ext>
          </c:extLst>
        </c:ser>
        <c:dLbls>
          <c:showLegendKey val="0"/>
          <c:showVal val="0"/>
          <c:showCatName val="0"/>
          <c:showSerName val="0"/>
          <c:showPercent val="0"/>
          <c:showBubbleSize val="0"/>
        </c:dLbls>
        <c:axId val="433900383"/>
        <c:axId val="433887903"/>
      </c:areaChart>
      <c:catAx>
        <c:axId val="433900383"/>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eorgia" panose="02040502050405020303" pitchFamily="18" charset="0"/>
                <a:ea typeface="+mn-ea"/>
                <a:cs typeface="+mn-cs"/>
              </a:defRPr>
            </a:pPr>
            <a:endParaRPr lang="en-NG"/>
          </a:p>
        </c:txPr>
        <c:crossAx val="433887903"/>
        <c:crosses val="autoZero"/>
        <c:auto val="1"/>
        <c:lblAlgn val="ctr"/>
        <c:lblOffset val="100"/>
        <c:noMultiLvlLbl val="0"/>
      </c:catAx>
      <c:valAx>
        <c:axId val="433887903"/>
        <c:scaling>
          <c:orientation val="minMax"/>
        </c:scaling>
        <c:delete val="0"/>
        <c:axPos val="l"/>
        <c:majorGridlines>
          <c:spPr>
            <a:ln w="9525" cap="flat" cmpd="sng" algn="ctr">
              <a:solidFill>
                <a:schemeClr val="bg1">
                  <a:lumMod val="9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eorgia" panose="02040502050405020303" pitchFamily="18" charset="0"/>
                <a:ea typeface="+mn-ea"/>
                <a:cs typeface="+mn-cs"/>
              </a:defRPr>
            </a:pPr>
            <a:endParaRPr lang="en-NG"/>
          </a:p>
        </c:txPr>
        <c:crossAx val="43390038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19B1.xlsx]Sales trend!PivotTable6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Georgia" panose="02040502050405020303" pitchFamily="18" charset="0"/>
                <a:ea typeface="+mn-ea"/>
                <a:cs typeface="+mn-cs"/>
              </a:defRPr>
            </a:pPr>
            <a:r>
              <a:rPr lang="en-US">
                <a:latin typeface="Georgia" panose="02040502050405020303" pitchFamily="18" charset="0"/>
              </a:rPr>
              <a:t>Sales Trend</a:t>
            </a:r>
            <a:r>
              <a:rPr lang="en-US" baseline="0">
                <a:latin typeface="Georgia" panose="02040502050405020303" pitchFamily="18" charset="0"/>
              </a:rPr>
              <a:t> Across Different Dates</a:t>
            </a:r>
            <a:endParaRPr lang="en-US">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Georgia" panose="02040502050405020303" pitchFamily="18" charset="0"/>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w="25400">
            <a:solidFill>
              <a:schemeClr val="accent2">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w="25400">
            <a:solidFill>
              <a:schemeClr val="accent2">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lumMod val="50000"/>
              </a:schemeClr>
            </a:solidFill>
            <a:round/>
          </a:ln>
          <a:effectLst/>
        </c:spPr>
        <c:marker>
          <c:symbol val="circle"/>
          <c:size val="5"/>
          <c:spPr>
            <a:solidFill>
              <a:schemeClr val="bg1">
                <a:alpha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28575" cap="rnd">
              <a:solidFill>
                <a:schemeClr val="accent2">
                  <a:lumMod val="50000"/>
                </a:schemeClr>
              </a:solidFill>
              <a:round/>
            </a:ln>
            <a:effectLst/>
          </c:spPr>
          <c:marker>
            <c:symbol val="circle"/>
            <c:size val="5"/>
            <c:spPr>
              <a:solidFill>
                <a:schemeClr val="bg1">
                  <a:alpha val="50000"/>
                </a:schemeClr>
              </a:solidFill>
              <a:ln w="9525">
                <a:solidFill>
                  <a:schemeClr val="accent2">
                    <a:lumMod val="50000"/>
                  </a:schemeClr>
                </a:solidFill>
              </a:ln>
              <a:effectLst/>
            </c:spPr>
          </c:marker>
          <c:cat>
            <c:multiLvlStrRef>
              <c:f>'Sales trend'!$A$4:$A$47</c:f>
              <c:multiLvlStrCache>
                <c:ptCount val="41"/>
                <c:lvl>
                  <c:pt idx="0">
                    <c:v>08-Feb</c:v>
                  </c:pt>
                  <c:pt idx="1">
                    <c:v>09-Feb</c:v>
                  </c:pt>
                  <c:pt idx="2">
                    <c:v>10-Feb</c:v>
                  </c:pt>
                  <c:pt idx="3">
                    <c:v>11-Feb</c:v>
                  </c:pt>
                  <c:pt idx="4">
                    <c:v>12-Feb</c:v>
                  </c:pt>
                  <c:pt idx="5">
                    <c:v>13-Feb</c:v>
                  </c:pt>
                  <c:pt idx="6">
                    <c:v>14-Feb</c:v>
                  </c:pt>
                  <c:pt idx="7">
                    <c:v>15-Feb</c:v>
                  </c:pt>
                  <c:pt idx="8">
                    <c:v>16-Feb</c:v>
                  </c:pt>
                  <c:pt idx="9">
                    <c:v>17-Feb</c:v>
                  </c:pt>
                  <c:pt idx="10">
                    <c:v>18-Feb</c:v>
                  </c:pt>
                  <c:pt idx="11">
                    <c:v>19-Feb</c:v>
                  </c:pt>
                  <c:pt idx="12">
                    <c:v>20-Feb</c:v>
                  </c:pt>
                  <c:pt idx="13">
                    <c:v>21-Feb</c:v>
                  </c:pt>
                  <c:pt idx="14">
                    <c:v>22-Feb</c:v>
                  </c:pt>
                  <c:pt idx="15">
                    <c:v>23-Feb</c:v>
                  </c:pt>
                  <c:pt idx="16">
                    <c:v>24-Feb</c:v>
                  </c:pt>
                  <c:pt idx="17">
                    <c:v>25-Feb</c:v>
                  </c:pt>
                  <c:pt idx="18">
                    <c:v>26-Feb</c:v>
                  </c:pt>
                  <c:pt idx="19">
                    <c:v>27-Feb</c:v>
                  </c:pt>
                  <c:pt idx="20">
                    <c:v>28-Feb</c:v>
                  </c:pt>
                  <c:pt idx="21">
                    <c:v>01-Mar</c:v>
                  </c:pt>
                  <c:pt idx="22">
                    <c:v>02-Mar</c:v>
                  </c:pt>
                  <c:pt idx="23">
                    <c:v>03-Mar</c:v>
                  </c:pt>
                  <c:pt idx="24">
                    <c:v>05-Mar</c:v>
                  </c:pt>
                  <c:pt idx="25">
                    <c:v>07-Mar</c:v>
                  </c:pt>
                  <c:pt idx="26">
                    <c:v>08-Mar</c:v>
                  </c:pt>
                  <c:pt idx="27">
                    <c:v>09-Mar</c:v>
                  </c:pt>
                  <c:pt idx="28">
                    <c:v>10-Mar</c:v>
                  </c:pt>
                  <c:pt idx="29">
                    <c:v>11-Mar</c:v>
                  </c:pt>
                  <c:pt idx="30">
                    <c:v>12-Mar</c:v>
                  </c:pt>
                  <c:pt idx="31">
                    <c:v>14-Mar</c:v>
                  </c:pt>
                  <c:pt idx="32">
                    <c:v>15-Mar</c:v>
                  </c:pt>
                  <c:pt idx="33">
                    <c:v>16-Mar</c:v>
                  </c:pt>
                  <c:pt idx="34">
                    <c:v>17-Mar</c:v>
                  </c:pt>
                  <c:pt idx="35">
                    <c:v>18-Mar</c:v>
                  </c:pt>
                  <c:pt idx="36">
                    <c:v>19-Mar</c:v>
                  </c:pt>
                  <c:pt idx="37">
                    <c:v>20-Mar</c:v>
                  </c:pt>
                  <c:pt idx="38">
                    <c:v>21-Mar</c:v>
                  </c:pt>
                  <c:pt idx="39">
                    <c:v>22-Mar</c:v>
                  </c:pt>
                  <c:pt idx="40">
                    <c:v>23-Mar</c:v>
                  </c:pt>
                </c:lvl>
                <c:lvl>
                  <c:pt idx="0">
                    <c:v>Feb</c:v>
                  </c:pt>
                  <c:pt idx="21">
                    <c:v>Mar</c:v>
                  </c:pt>
                </c:lvl>
              </c:multiLvlStrCache>
            </c:multiLvlStrRef>
          </c:cat>
          <c:val>
            <c:numRef>
              <c:f>'Sales trend'!$B$4:$B$47</c:f>
              <c:numCache>
                <c:formatCode>[$$-45C]#,##0.00</c:formatCode>
                <c:ptCount val="41"/>
                <c:pt idx="0">
                  <c:v>196</c:v>
                </c:pt>
                <c:pt idx="1">
                  <c:v>444</c:v>
                </c:pt>
                <c:pt idx="2">
                  <c:v>77</c:v>
                </c:pt>
                <c:pt idx="3">
                  <c:v>40</c:v>
                </c:pt>
                <c:pt idx="4">
                  <c:v>27</c:v>
                </c:pt>
                <c:pt idx="5">
                  <c:v>120</c:v>
                </c:pt>
                <c:pt idx="6">
                  <c:v>220</c:v>
                </c:pt>
                <c:pt idx="7">
                  <c:v>174</c:v>
                </c:pt>
                <c:pt idx="8">
                  <c:v>226</c:v>
                </c:pt>
                <c:pt idx="9">
                  <c:v>207</c:v>
                </c:pt>
                <c:pt idx="10">
                  <c:v>108</c:v>
                </c:pt>
                <c:pt idx="11">
                  <c:v>95</c:v>
                </c:pt>
                <c:pt idx="12">
                  <c:v>300</c:v>
                </c:pt>
                <c:pt idx="13">
                  <c:v>284</c:v>
                </c:pt>
                <c:pt idx="14">
                  <c:v>115</c:v>
                </c:pt>
                <c:pt idx="15">
                  <c:v>106</c:v>
                </c:pt>
                <c:pt idx="16">
                  <c:v>96</c:v>
                </c:pt>
                <c:pt idx="17">
                  <c:v>62</c:v>
                </c:pt>
                <c:pt idx="18">
                  <c:v>405</c:v>
                </c:pt>
                <c:pt idx="19">
                  <c:v>40</c:v>
                </c:pt>
                <c:pt idx="20">
                  <c:v>247</c:v>
                </c:pt>
                <c:pt idx="21">
                  <c:v>124</c:v>
                </c:pt>
                <c:pt idx="22">
                  <c:v>306</c:v>
                </c:pt>
                <c:pt idx="23">
                  <c:v>155</c:v>
                </c:pt>
                <c:pt idx="24">
                  <c:v>207</c:v>
                </c:pt>
                <c:pt idx="25">
                  <c:v>131</c:v>
                </c:pt>
                <c:pt idx="26">
                  <c:v>103</c:v>
                </c:pt>
                <c:pt idx="27">
                  <c:v>212</c:v>
                </c:pt>
                <c:pt idx="28">
                  <c:v>109</c:v>
                </c:pt>
                <c:pt idx="29">
                  <c:v>139</c:v>
                </c:pt>
                <c:pt idx="30">
                  <c:v>215</c:v>
                </c:pt>
                <c:pt idx="31">
                  <c:v>113</c:v>
                </c:pt>
                <c:pt idx="32">
                  <c:v>280</c:v>
                </c:pt>
                <c:pt idx="33">
                  <c:v>104</c:v>
                </c:pt>
                <c:pt idx="34">
                  <c:v>145</c:v>
                </c:pt>
                <c:pt idx="35">
                  <c:v>162</c:v>
                </c:pt>
                <c:pt idx="36">
                  <c:v>140</c:v>
                </c:pt>
                <c:pt idx="37">
                  <c:v>88</c:v>
                </c:pt>
                <c:pt idx="38">
                  <c:v>105</c:v>
                </c:pt>
                <c:pt idx="39">
                  <c:v>248</c:v>
                </c:pt>
                <c:pt idx="40">
                  <c:v>215</c:v>
                </c:pt>
              </c:numCache>
            </c:numRef>
          </c:val>
          <c:smooth val="0"/>
          <c:extLst>
            <c:ext xmlns:c16="http://schemas.microsoft.com/office/drawing/2014/chart" uri="{C3380CC4-5D6E-409C-BE32-E72D297353CC}">
              <c16:uniqueId val="{00000003-8EEB-43CD-A5D3-387F65856BCD}"/>
            </c:ext>
          </c:extLst>
        </c:ser>
        <c:dLbls>
          <c:showLegendKey val="0"/>
          <c:showVal val="0"/>
          <c:showCatName val="0"/>
          <c:showSerName val="0"/>
          <c:showPercent val="0"/>
          <c:showBubbleSize val="0"/>
        </c:dLbls>
        <c:marker val="1"/>
        <c:smooth val="0"/>
        <c:axId val="433900383"/>
        <c:axId val="433887903"/>
      </c:lineChart>
      <c:catAx>
        <c:axId val="433900383"/>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eorgia" panose="02040502050405020303" pitchFamily="18" charset="0"/>
                <a:ea typeface="+mn-ea"/>
                <a:cs typeface="+mn-cs"/>
              </a:defRPr>
            </a:pPr>
            <a:endParaRPr lang="en-NG"/>
          </a:p>
        </c:txPr>
        <c:crossAx val="433887903"/>
        <c:crosses val="autoZero"/>
        <c:auto val="1"/>
        <c:lblAlgn val="ctr"/>
        <c:lblOffset val="100"/>
        <c:noMultiLvlLbl val="0"/>
      </c:catAx>
      <c:valAx>
        <c:axId val="433887903"/>
        <c:scaling>
          <c:orientation val="minMax"/>
        </c:scaling>
        <c:delete val="0"/>
        <c:axPos val="l"/>
        <c:majorGridlines>
          <c:spPr>
            <a:ln w="9525" cap="flat" cmpd="sng" algn="ctr">
              <a:solidFill>
                <a:schemeClr val="bg1">
                  <a:lumMod val="95000"/>
                </a:schemeClr>
              </a:solidFill>
              <a:round/>
            </a:ln>
            <a:effectLst/>
          </c:spPr>
        </c:majorGridlines>
        <c:numFmt formatCode="[$$-45C]#,##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eorgia" panose="02040502050405020303" pitchFamily="18" charset="0"/>
                <a:ea typeface="+mn-ea"/>
                <a:cs typeface="+mn-cs"/>
              </a:defRPr>
            </a:pPr>
            <a:endParaRPr lang="en-NG"/>
          </a:p>
        </c:txPr>
        <c:crossAx val="433900383"/>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19B1.xlsx]Sales trend!PivotTable6</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w="25400">
            <a:solidFill>
              <a:schemeClr val="accent2">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w="25400">
            <a:solidFill>
              <a:schemeClr val="accent2">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lumMod val="50000"/>
              </a:schemeClr>
            </a:solidFill>
            <a:round/>
          </a:ln>
          <a:effectLst/>
        </c:spPr>
        <c:marker>
          <c:symbol val="circle"/>
          <c:size val="5"/>
          <c:spPr>
            <a:solidFill>
              <a:schemeClr val="bg1">
                <a:alpha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lumMod val="50000"/>
              </a:schemeClr>
            </a:solidFill>
            <a:round/>
          </a:ln>
          <a:effectLst/>
        </c:spPr>
        <c:marker>
          <c:symbol val="circle"/>
          <c:size val="5"/>
          <c:spPr>
            <a:solidFill>
              <a:schemeClr val="bg1">
                <a:alpha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6A4A3A"/>
            </a:solidFill>
            <a:round/>
          </a:ln>
          <a:effectLst/>
        </c:spPr>
        <c:marker>
          <c:symbol val="circle"/>
          <c:size val="5"/>
          <c:spPr>
            <a:solidFill>
              <a:srgbClr val="6A4A3A">
                <a:alpha val="50000"/>
              </a:srgbClr>
            </a:solidFill>
            <a:ln w="9525">
              <a:solidFill>
                <a:srgbClr val="6A4A3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6A4A3A"/>
            </a:solidFill>
            <a:round/>
          </a:ln>
          <a:effectLst/>
        </c:spPr>
        <c:marker>
          <c:symbol val="circle"/>
          <c:size val="5"/>
          <c:spPr>
            <a:solidFill>
              <a:srgbClr val="6A4A3A">
                <a:alpha val="50000"/>
              </a:srgbClr>
            </a:solidFill>
            <a:ln w="9525">
              <a:solidFill>
                <a:srgbClr val="6A4A3A"/>
              </a:solidFill>
            </a:ln>
            <a:effectLst/>
          </c:spPr>
        </c:marker>
      </c:pivotFmt>
    </c:pivotFmts>
    <c:plotArea>
      <c:layout>
        <c:manualLayout>
          <c:layoutTarget val="inner"/>
          <c:xMode val="edge"/>
          <c:yMode val="edge"/>
          <c:x val="0.11786117982992765"/>
          <c:y val="0.10531123847790755"/>
          <c:w val="0.86649794978082628"/>
          <c:h val="0.33083229302761002"/>
        </c:manualLayout>
      </c:layout>
      <c:lineChart>
        <c:grouping val="standard"/>
        <c:varyColors val="0"/>
        <c:ser>
          <c:idx val="0"/>
          <c:order val="0"/>
          <c:tx>
            <c:strRef>
              <c:f>'Sales trend'!$B$3</c:f>
              <c:strCache>
                <c:ptCount val="1"/>
                <c:pt idx="0">
                  <c:v>Total</c:v>
                </c:pt>
              </c:strCache>
            </c:strRef>
          </c:tx>
          <c:spPr>
            <a:ln w="28575" cap="rnd">
              <a:solidFill>
                <a:srgbClr val="6A4A3A"/>
              </a:solidFill>
              <a:round/>
            </a:ln>
            <a:effectLst/>
          </c:spPr>
          <c:marker>
            <c:symbol val="circle"/>
            <c:size val="5"/>
            <c:spPr>
              <a:solidFill>
                <a:srgbClr val="6A4A3A">
                  <a:alpha val="50000"/>
                </a:srgbClr>
              </a:solidFill>
              <a:ln w="9525">
                <a:solidFill>
                  <a:srgbClr val="6A4A3A"/>
                </a:solidFill>
              </a:ln>
              <a:effectLst/>
            </c:spPr>
          </c:marker>
          <c:cat>
            <c:multiLvlStrRef>
              <c:f>'Sales trend'!$A$4:$A$47</c:f>
              <c:multiLvlStrCache>
                <c:ptCount val="41"/>
                <c:lvl>
                  <c:pt idx="0">
                    <c:v>08-Feb</c:v>
                  </c:pt>
                  <c:pt idx="1">
                    <c:v>09-Feb</c:v>
                  </c:pt>
                  <c:pt idx="2">
                    <c:v>10-Feb</c:v>
                  </c:pt>
                  <c:pt idx="3">
                    <c:v>11-Feb</c:v>
                  </c:pt>
                  <c:pt idx="4">
                    <c:v>12-Feb</c:v>
                  </c:pt>
                  <c:pt idx="5">
                    <c:v>13-Feb</c:v>
                  </c:pt>
                  <c:pt idx="6">
                    <c:v>14-Feb</c:v>
                  </c:pt>
                  <c:pt idx="7">
                    <c:v>15-Feb</c:v>
                  </c:pt>
                  <c:pt idx="8">
                    <c:v>16-Feb</c:v>
                  </c:pt>
                  <c:pt idx="9">
                    <c:v>17-Feb</c:v>
                  </c:pt>
                  <c:pt idx="10">
                    <c:v>18-Feb</c:v>
                  </c:pt>
                  <c:pt idx="11">
                    <c:v>19-Feb</c:v>
                  </c:pt>
                  <c:pt idx="12">
                    <c:v>20-Feb</c:v>
                  </c:pt>
                  <c:pt idx="13">
                    <c:v>21-Feb</c:v>
                  </c:pt>
                  <c:pt idx="14">
                    <c:v>22-Feb</c:v>
                  </c:pt>
                  <c:pt idx="15">
                    <c:v>23-Feb</c:v>
                  </c:pt>
                  <c:pt idx="16">
                    <c:v>24-Feb</c:v>
                  </c:pt>
                  <c:pt idx="17">
                    <c:v>25-Feb</c:v>
                  </c:pt>
                  <c:pt idx="18">
                    <c:v>26-Feb</c:v>
                  </c:pt>
                  <c:pt idx="19">
                    <c:v>27-Feb</c:v>
                  </c:pt>
                  <c:pt idx="20">
                    <c:v>28-Feb</c:v>
                  </c:pt>
                  <c:pt idx="21">
                    <c:v>01-Mar</c:v>
                  </c:pt>
                  <c:pt idx="22">
                    <c:v>02-Mar</c:v>
                  </c:pt>
                  <c:pt idx="23">
                    <c:v>03-Mar</c:v>
                  </c:pt>
                  <c:pt idx="24">
                    <c:v>05-Mar</c:v>
                  </c:pt>
                  <c:pt idx="25">
                    <c:v>07-Mar</c:v>
                  </c:pt>
                  <c:pt idx="26">
                    <c:v>08-Mar</c:v>
                  </c:pt>
                  <c:pt idx="27">
                    <c:v>09-Mar</c:v>
                  </c:pt>
                  <c:pt idx="28">
                    <c:v>10-Mar</c:v>
                  </c:pt>
                  <c:pt idx="29">
                    <c:v>11-Mar</c:v>
                  </c:pt>
                  <c:pt idx="30">
                    <c:v>12-Mar</c:v>
                  </c:pt>
                  <c:pt idx="31">
                    <c:v>14-Mar</c:v>
                  </c:pt>
                  <c:pt idx="32">
                    <c:v>15-Mar</c:v>
                  </c:pt>
                  <c:pt idx="33">
                    <c:v>16-Mar</c:v>
                  </c:pt>
                  <c:pt idx="34">
                    <c:v>17-Mar</c:v>
                  </c:pt>
                  <c:pt idx="35">
                    <c:v>18-Mar</c:v>
                  </c:pt>
                  <c:pt idx="36">
                    <c:v>19-Mar</c:v>
                  </c:pt>
                  <c:pt idx="37">
                    <c:v>20-Mar</c:v>
                  </c:pt>
                  <c:pt idx="38">
                    <c:v>21-Mar</c:v>
                  </c:pt>
                  <c:pt idx="39">
                    <c:v>22-Mar</c:v>
                  </c:pt>
                  <c:pt idx="40">
                    <c:v>23-Mar</c:v>
                  </c:pt>
                </c:lvl>
                <c:lvl>
                  <c:pt idx="0">
                    <c:v>Feb</c:v>
                  </c:pt>
                  <c:pt idx="21">
                    <c:v>Mar</c:v>
                  </c:pt>
                </c:lvl>
              </c:multiLvlStrCache>
            </c:multiLvlStrRef>
          </c:cat>
          <c:val>
            <c:numRef>
              <c:f>'Sales trend'!$B$4:$B$47</c:f>
              <c:numCache>
                <c:formatCode>[$$-45C]#,##0.00</c:formatCode>
                <c:ptCount val="41"/>
                <c:pt idx="0">
                  <c:v>196</c:v>
                </c:pt>
                <c:pt idx="1">
                  <c:v>444</c:v>
                </c:pt>
                <c:pt idx="2">
                  <c:v>77</c:v>
                </c:pt>
                <c:pt idx="3">
                  <c:v>40</c:v>
                </c:pt>
                <c:pt idx="4">
                  <c:v>27</c:v>
                </c:pt>
                <c:pt idx="5">
                  <c:v>120</c:v>
                </c:pt>
                <c:pt idx="6">
                  <c:v>220</c:v>
                </c:pt>
                <c:pt idx="7">
                  <c:v>174</c:v>
                </c:pt>
                <c:pt idx="8">
                  <c:v>226</c:v>
                </c:pt>
                <c:pt idx="9">
                  <c:v>207</c:v>
                </c:pt>
                <c:pt idx="10">
                  <c:v>108</c:v>
                </c:pt>
                <c:pt idx="11">
                  <c:v>95</c:v>
                </c:pt>
                <c:pt idx="12">
                  <c:v>300</c:v>
                </c:pt>
                <c:pt idx="13">
                  <c:v>284</c:v>
                </c:pt>
                <c:pt idx="14">
                  <c:v>115</c:v>
                </c:pt>
                <c:pt idx="15">
                  <c:v>106</c:v>
                </c:pt>
                <c:pt idx="16">
                  <c:v>96</c:v>
                </c:pt>
                <c:pt idx="17">
                  <c:v>62</c:v>
                </c:pt>
                <c:pt idx="18">
                  <c:v>405</c:v>
                </c:pt>
                <c:pt idx="19">
                  <c:v>40</c:v>
                </c:pt>
                <c:pt idx="20">
                  <c:v>247</c:v>
                </c:pt>
                <c:pt idx="21">
                  <c:v>124</c:v>
                </c:pt>
                <c:pt idx="22">
                  <c:v>306</c:v>
                </c:pt>
                <c:pt idx="23">
                  <c:v>155</c:v>
                </c:pt>
                <c:pt idx="24">
                  <c:v>207</c:v>
                </c:pt>
                <c:pt idx="25">
                  <c:v>131</c:v>
                </c:pt>
                <c:pt idx="26">
                  <c:v>103</c:v>
                </c:pt>
                <c:pt idx="27">
                  <c:v>212</c:v>
                </c:pt>
                <c:pt idx="28">
                  <c:v>109</c:v>
                </c:pt>
                <c:pt idx="29">
                  <c:v>139</c:v>
                </c:pt>
                <c:pt idx="30">
                  <c:v>215</c:v>
                </c:pt>
                <c:pt idx="31">
                  <c:v>113</c:v>
                </c:pt>
                <c:pt idx="32">
                  <c:v>280</c:v>
                </c:pt>
                <c:pt idx="33">
                  <c:v>104</c:v>
                </c:pt>
                <c:pt idx="34">
                  <c:v>145</c:v>
                </c:pt>
                <c:pt idx="35">
                  <c:v>162</c:v>
                </c:pt>
                <c:pt idx="36">
                  <c:v>140</c:v>
                </c:pt>
                <c:pt idx="37">
                  <c:v>88</c:v>
                </c:pt>
                <c:pt idx="38">
                  <c:v>105</c:v>
                </c:pt>
                <c:pt idx="39">
                  <c:v>248</c:v>
                </c:pt>
                <c:pt idx="40">
                  <c:v>215</c:v>
                </c:pt>
              </c:numCache>
            </c:numRef>
          </c:val>
          <c:smooth val="0"/>
          <c:extLst>
            <c:ext xmlns:c16="http://schemas.microsoft.com/office/drawing/2014/chart" uri="{C3380CC4-5D6E-409C-BE32-E72D297353CC}">
              <c16:uniqueId val="{00000000-9C48-4744-96D4-F7EAF1726D83}"/>
            </c:ext>
          </c:extLst>
        </c:ser>
        <c:dLbls>
          <c:showLegendKey val="0"/>
          <c:showVal val="0"/>
          <c:showCatName val="0"/>
          <c:showSerName val="0"/>
          <c:showPercent val="0"/>
          <c:showBubbleSize val="0"/>
        </c:dLbls>
        <c:marker val="1"/>
        <c:smooth val="0"/>
        <c:axId val="433900383"/>
        <c:axId val="433887903"/>
      </c:lineChart>
      <c:catAx>
        <c:axId val="433900383"/>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tx1"/>
                </a:solidFill>
                <a:latin typeface="Georgia" panose="02040502050405020303" pitchFamily="18" charset="0"/>
                <a:ea typeface="+mn-ea"/>
                <a:cs typeface="+mn-cs"/>
              </a:defRPr>
            </a:pPr>
            <a:endParaRPr lang="en-NG"/>
          </a:p>
        </c:txPr>
        <c:crossAx val="433887903"/>
        <c:crosses val="autoZero"/>
        <c:auto val="1"/>
        <c:lblAlgn val="ctr"/>
        <c:lblOffset val="100"/>
        <c:noMultiLvlLbl val="0"/>
      </c:catAx>
      <c:valAx>
        <c:axId val="433887903"/>
        <c:scaling>
          <c:orientation val="minMax"/>
        </c:scaling>
        <c:delete val="0"/>
        <c:axPos val="l"/>
        <c:majorGridlines>
          <c:spPr>
            <a:ln w="9525" cap="flat" cmpd="sng" algn="ctr">
              <a:solidFill>
                <a:schemeClr val="bg1">
                  <a:lumMod val="95000"/>
                </a:schemeClr>
              </a:solidFill>
              <a:round/>
            </a:ln>
            <a:effectLst/>
          </c:spPr>
        </c:majorGridlines>
        <c:numFmt formatCode="[$$-45C]#,##0.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solidFill>
                <a:latin typeface="Georgia" panose="02040502050405020303" pitchFamily="18" charset="0"/>
                <a:ea typeface="+mn-ea"/>
                <a:cs typeface="+mn-cs"/>
              </a:defRPr>
            </a:pPr>
            <a:endParaRPr lang="en-NG"/>
          </a:p>
        </c:txPr>
        <c:crossAx val="433900383"/>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19B1.xlsx]Top hour by highest revenue!PivotTable6</c:name>
    <c:fmtId val="8"/>
  </c:pivotSource>
  <c:chart>
    <c:autoTitleDeleted val="1"/>
    <c:pivotFmts>
      <c:pivotFmt>
        <c:idx val="0"/>
        <c:spPr>
          <a:solidFill>
            <a:schemeClr val="accent2">
              <a:lumMod val="50000"/>
            </a:schemeClr>
          </a:solidFill>
          <a:ln>
            <a:solidFill>
              <a:schemeClr val="accent2">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solidFill>
              <a:schemeClr val="accent2">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A4A3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03679397341735"/>
          <c:y val="7.0320209347033161E-2"/>
          <c:w val="0.86233153396498974"/>
          <c:h val="0.72877595822805474"/>
        </c:manualLayout>
      </c:layout>
      <c:areaChart>
        <c:grouping val="standard"/>
        <c:varyColors val="0"/>
        <c:ser>
          <c:idx val="0"/>
          <c:order val="0"/>
          <c:tx>
            <c:strRef>
              <c:f>'Top hour by highest revenue'!$B$3</c:f>
              <c:strCache>
                <c:ptCount val="1"/>
                <c:pt idx="0">
                  <c:v>Total</c:v>
                </c:pt>
              </c:strCache>
            </c:strRef>
          </c:tx>
          <c:spPr>
            <a:solidFill>
              <a:srgbClr val="6A4A3A"/>
            </a:solidFill>
            <a:ln>
              <a:noFill/>
            </a:ln>
            <a:effectLst/>
          </c:spPr>
          <c:cat>
            <c:strRef>
              <c:f>'Top hour by highest revenue'!$A$4:$A$10</c:f>
              <c:strCache>
                <c:ptCount val="6"/>
                <c:pt idx="0">
                  <c:v>18:01:22</c:v>
                </c:pt>
                <c:pt idx="1">
                  <c:v>18:38:38</c:v>
                </c:pt>
                <c:pt idx="2">
                  <c:v>12:48:05</c:v>
                </c:pt>
                <c:pt idx="3">
                  <c:v>15:42:11</c:v>
                </c:pt>
                <c:pt idx="4">
                  <c:v>09:41:12</c:v>
                </c:pt>
                <c:pt idx="5">
                  <c:v>10:25:48</c:v>
                </c:pt>
              </c:strCache>
            </c:strRef>
          </c:cat>
          <c:val>
            <c:numRef>
              <c:f>'Top hour by highest revenue'!$B$4:$B$10</c:f>
              <c:numCache>
                <c:formatCode>[$$-45C]#,##0.00</c:formatCode>
                <c:ptCount val="6"/>
                <c:pt idx="0">
                  <c:v>73</c:v>
                </c:pt>
                <c:pt idx="1">
                  <c:v>58</c:v>
                </c:pt>
                <c:pt idx="2">
                  <c:v>58</c:v>
                </c:pt>
                <c:pt idx="3">
                  <c:v>50</c:v>
                </c:pt>
                <c:pt idx="4">
                  <c:v>50</c:v>
                </c:pt>
                <c:pt idx="5">
                  <c:v>50</c:v>
                </c:pt>
              </c:numCache>
            </c:numRef>
          </c:val>
          <c:extLst>
            <c:ext xmlns:c16="http://schemas.microsoft.com/office/drawing/2014/chart" uri="{C3380CC4-5D6E-409C-BE32-E72D297353CC}">
              <c16:uniqueId val="{00000000-A825-4837-8490-59173E5D7468}"/>
            </c:ext>
          </c:extLst>
        </c:ser>
        <c:dLbls>
          <c:showLegendKey val="0"/>
          <c:showVal val="0"/>
          <c:showCatName val="0"/>
          <c:showSerName val="0"/>
          <c:showPercent val="0"/>
          <c:showBubbleSize val="0"/>
        </c:dLbls>
        <c:axId val="433900383"/>
        <c:axId val="433887903"/>
      </c:areaChart>
      <c:catAx>
        <c:axId val="433900383"/>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tx1"/>
                </a:solidFill>
                <a:latin typeface="Georgia" panose="02040502050405020303" pitchFamily="18" charset="0"/>
                <a:ea typeface="+mn-ea"/>
                <a:cs typeface="+mn-cs"/>
              </a:defRPr>
            </a:pPr>
            <a:endParaRPr lang="en-NG"/>
          </a:p>
        </c:txPr>
        <c:crossAx val="433887903"/>
        <c:crosses val="autoZero"/>
        <c:auto val="1"/>
        <c:lblAlgn val="ctr"/>
        <c:lblOffset val="100"/>
        <c:noMultiLvlLbl val="0"/>
      </c:catAx>
      <c:valAx>
        <c:axId val="433887903"/>
        <c:scaling>
          <c:orientation val="minMax"/>
        </c:scaling>
        <c:delete val="0"/>
        <c:axPos val="l"/>
        <c:majorGridlines>
          <c:spPr>
            <a:ln w="9525" cap="flat" cmpd="sng" algn="ctr">
              <a:solidFill>
                <a:schemeClr val="bg1">
                  <a:lumMod val="95000"/>
                </a:schemeClr>
              </a:solidFill>
              <a:round/>
            </a:ln>
            <a:effectLst/>
          </c:spPr>
        </c:majorGridlines>
        <c:numFmt formatCode="[$$-45C]#,##0.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solidFill>
                <a:latin typeface="Georgia" panose="02040502050405020303" pitchFamily="18" charset="0"/>
                <a:ea typeface="+mn-ea"/>
                <a:cs typeface="+mn-cs"/>
              </a:defRPr>
            </a:pPr>
            <a:endParaRPr lang="en-NG"/>
          </a:p>
        </c:txPr>
        <c:crossAx val="43390038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19B1.xlsx]Revenue by month!PivotTable6</c:name>
    <c:fmtId val="5"/>
  </c:pivotSource>
  <c:chart>
    <c:autoTitleDeleted val="1"/>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2">
              <a:lumMod val="60000"/>
              <a:lumOff val="40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40000"/>
              <a:lumOff val="60000"/>
            </a:schemeClr>
          </a:solidFill>
          <a:ln>
            <a:noFill/>
          </a:ln>
          <a:effectLst/>
        </c:spPr>
      </c:pivotFmt>
      <c:pivotFmt>
        <c:idx val="5"/>
        <c:spPr>
          <a:solidFill>
            <a:schemeClr val="accent2">
              <a:lumMod val="40000"/>
              <a:lumOff val="60000"/>
            </a:schemeClr>
          </a:solidFill>
          <a:ln>
            <a:noFill/>
          </a:ln>
          <a:effectLst/>
        </c:spPr>
      </c:pivotFmt>
      <c:pivotFmt>
        <c:idx val="6"/>
        <c:spPr>
          <a:solidFill>
            <a:schemeClr val="accent2">
              <a:lumMod val="20000"/>
              <a:lumOff val="80000"/>
            </a:schemeClr>
          </a:solidFill>
          <a:ln>
            <a:noFill/>
          </a:ln>
          <a:effectLst/>
        </c:spPr>
      </c:pivotFmt>
      <c:pivotFmt>
        <c:idx val="7"/>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75000"/>
            </a:schemeClr>
          </a:solidFill>
          <a:ln>
            <a:noFill/>
          </a:ln>
          <a:effectLst/>
        </c:spPr>
      </c:pivotFmt>
      <c:pivotFmt>
        <c:idx val="9"/>
        <c:spPr>
          <a:solidFill>
            <a:schemeClr val="accent2">
              <a:lumMod val="60000"/>
              <a:lumOff val="40000"/>
            </a:schemeClr>
          </a:solidFill>
          <a:ln>
            <a:noFill/>
          </a:ln>
          <a:effectLst/>
        </c:spPr>
      </c:pivotFmt>
      <c:pivotFmt>
        <c:idx val="10"/>
        <c:spPr>
          <a:solidFill>
            <a:schemeClr val="accent2">
              <a:lumMod val="60000"/>
              <a:lumOff val="40000"/>
            </a:schemeClr>
          </a:solidFill>
          <a:ln>
            <a:noFill/>
          </a:ln>
          <a:effectLst/>
        </c:spPr>
      </c:pivotFmt>
      <c:pivotFmt>
        <c:idx val="11"/>
        <c:spPr>
          <a:solidFill>
            <a:schemeClr val="accent2">
              <a:lumMod val="40000"/>
              <a:lumOff val="60000"/>
            </a:schemeClr>
          </a:solidFill>
          <a:ln>
            <a:noFill/>
          </a:ln>
          <a:effectLst/>
        </c:spPr>
      </c:pivotFmt>
      <c:pivotFmt>
        <c:idx val="12"/>
        <c:spPr>
          <a:solidFill>
            <a:schemeClr val="accent2">
              <a:lumMod val="40000"/>
              <a:lumOff val="60000"/>
            </a:schemeClr>
          </a:solidFill>
          <a:ln>
            <a:noFill/>
          </a:ln>
          <a:effectLst/>
        </c:spPr>
      </c:pivotFmt>
      <c:pivotFmt>
        <c:idx val="13"/>
        <c:spPr>
          <a:solidFill>
            <a:schemeClr val="accent2">
              <a:lumMod val="20000"/>
              <a:lumOff val="80000"/>
            </a:schemeClr>
          </a:solidFill>
          <a:ln>
            <a:noFill/>
          </a:ln>
          <a:effectLst/>
        </c:spPr>
      </c:pivotFmt>
      <c:pivotFmt>
        <c:idx val="14"/>
        <c:spPr>
          <a:solidFill>
            <a:schemeClr val="accent2">
              <a:lumMod val="75000"/>
            </a:schemeClr>
          </a:solidFill>
          <a:ln>
            <a:noFill/>
          </a:ln>
          <a:effectLst/>
        </c:spPr>
      </c:pivotFmt>
      <c:pivotFmt>
        <c:idx val="15"/>
        <c:spPr>
          <a:solidFill>
            <a:schemeClr val="accent2">
              <a:lumMod val="60000"/>
              <a:lumOff val="40000"/>
            </a:schemeClr>
          </a:solidFill>
          <a:ln>
            <a:noFill/>
          </a:ln>
          <a:effectLst/>
        </c:spPr>
      </c:pivotFmt>
      <c:pivotFmt>
        <c:idx val="16"/>
        <c:spPr>
          <a:solidFill>
            <a:schemeClr val="accent2">
              <a:lumMod val="40000"/>
              <a:lumOff val="60000"/>
            </a:schemeClr>
          </a:solidFill>
          <a:ln>
            <a:noFill/>
          </a:ln>
          <a:effectLst/>
        </c:spPr>
      </c:pivotFmt>
      <c:pivotFmt>
        <c:idx val="17"/>
        <c:spPr>
          <a:solidFill>
            <a:schemeClr val="accent2">
              <a:lumMod val="20000"/>
              <a:lumOff val="80000"/>
            </a:schemeClr>
          </a:solidFill>
          <a:ln>
            <a:noFill/>
          </a:ln>
          <a:effectLst/>
        </c:spPr>
      </c:pivotFmt>
      <c:pivotFmt>
        <c:idx val="18"/>
        <c:spPr>
          <a:solidFill>
            <a:schemeClr val="accent2">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lumMod val="50000"/>
            </a:schemeClr>
          </a:solidFill>
          <a:ln>
            <a:noFill/>
          </a:ln>
          <a:effectLst/>
        </c:spPr>
      </c:pivotFmt>
      <c:pivotFmt>
        <c:idx val="21"/>
        <c:spPr>
          <a:solidFill>
            <a:schemeClr val="accent2">
              <a:lumMod val="75000"/>
            </a:schemeClr>
          </a:solidFill>
          <a:ln>
            <a:noFill/>
          </a:ln>
          <a:effectLst/>
        </c:spPr>
      </c:pivotFmt>
      <c:pivotFmt>
        <c:idx val="22"/>
        <c:spPr>
          <a:solidFill>
            <a:schemeClr val="accent2">
              <a:lumMod val="60000"/>
              <a:lumOff val="40000"/>
            </a:schemeClr>
          </a:solidFill>
          <a:ln>
            <a:noFill/>
          </a:ln>
          <a:effectLst/>
        </c:spPr>
      </c:pivotFmt>
      <c:pivotFmt>
        <c:idx val="23"/>
        <c:spPr>
          <a:solidFill>
            <a:schemeClr val="accent2">
              <a:lumMod val="40000"/>
              <a:lumOff val="60000"/>
            </a:schemeClr>
          </a:solidFill>
          <a:ln>
            <a:noFill/>
          </a:ln>
          <a:effectLst/>
        </c:spPr>
      </c:pivotFmt>
      <c:pivotFmt>
        <c:idx val="24"/>
        <c:spPr>
          <a:solidFill>
            <a:schemeClr val="accent2">
              <a:lumMod val="20000"/>
              <a:lumOff val="80000"/>
            </a:schemeClr>
          </a:solidFill>
          <a:ln>
            <a:noFill/>
          </a:ln>
          <a:effectLst/>
        </c:spPr>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lumMod val="50000"/>
            </a:schemeClr>
          </a:solidFill>
          <a:ln>
            <a:noFill/>
          </a:ln>
          <a:effectLst/>
        </c:spPr>
        <c:dLbl>
          <c:idx val="0"/>
          <c:layout>
            <c:manualLayout>
              <c:x val="0.10833333333333334"/>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lumMod val="60000"/>
              <a:lumOff val="40000"/>
            </a:schemeClr>
          </a:solidFill>
          <a:ln>
            <a:noFill/>
          </a:ln>
          <a:effectLst/>
        </c:spPr>
        <c:dLbl>
          <c:idx val="0"/>
          <c:layout>
            <c:manualLayout>
              <c:x val="-0.12777777777777777"/>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2">
              <a:lumMod val="50000"/>
            </a:schemeClr>
          </a:solidFill>
          <a:ln>
            <a:noFill/>
          </a:ln>
          <a:effectLst/>
        </c:spPr>
        <c:dLbl>
          <c:idx val="0"/>
          <c:layout>
            <c:manualLayout>
              <c:x val="0.10833333333333334"/>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2">
              <a:lumMod val="60000"/>
              <a:lumOff val="40000"/>
            </a:schemeClr>
          </a:solidFill>
          <a:ln>
            <a:noFill/>
          </a:ln>
          <a:effectLst/>
        </c:spPr>
        <c:dLbl>
          <c:idx val="0"/>
          <c:layout>
            <c:manualLayout>
              <c:x val="-0.12777777777777777"/>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6A4A3A"/>
          </a:solidFill>
          <a:ln>
            <a:noFill/>
          </a:ln>
          <a:effectLst/>
        </c:spPr>
        <c:dLbl>
          <c:idx val="0"/>
          <c:layout>
            <c:manualLayout>
              <c:x val="0.14554698454852022"/>
              <c:y val="-8.7962925594047253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B08C7E"/>
          </a:solidFill>
          <a:ln>
            <a:noFill/>
          </a:ln>
          <a:effectLst/>
        </c:spPr>
        <c:dLbl>
          <c:idx val="0"/>
          <c:layout>
            <c:manualLayout>
              <c:x val="-0.12777777777777777"/>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808332502740956"/>
          <c:y val="4.1520841363361045E-2"/>
          <c:w val="0.3420887072660222"/>
          <c:h val="0.94493034524530606"/>
        </c:manualLayout>
      </c:layout>
      <c:doughnutChart>
        <c:varyColors val="1"/>
        <c:ser>
          <c:idx val="0"/>
          <c:order val="0"/>
          <c:tx>
            <c:strRef>
              <c:f>'Revenue by month'!$B$3</c:f>
              <c:strCache>
                <c:ptCount val="1"/>
                <c:pt idx="0">
                  <c:v>Total</c:v>
                </c:pt>
              </c:strCache>
            </c:strRef>
          </c:tx>
          <c:spPr>
            <a:ln>
              <a:noFill/>
            </a:ln>
          </c:spPr>
          <c:dPt>
            <c:idx val="0"/>
            <c:bubble3D val="0"/>
            <c:spPr>
              <a:solidFill>
                <a:srgbClr val="6A4A3A"/>
              </a:solidFill>
              <a:ln>
                <a:noFill/>
              </a:ln>
              <a:effectLst/>
            </c:spPr>
            <c:extLst>
              <c:ext xmlns:c16="http://schemas.microsoft.com/office/drawing/2014/chart" uri="{C3380CC4-5D6E-409C-BE32-E72D297353CC}">
                <c16:uniqueId val="{00000001-D5D6-46D2-A2FC-CDCD46554691}"/>
              </c:ext>
            </c:extLst>
          </c:dPt>
          <c:dPt>
            <c:idx val="1"/>
            <c:bubble3D val="0"/>
            <c:spPr>
              <a:solidFill>
                <a:srgbClr val="B08C7E"/>
              </a:solidFill>
              <a:ln>
                <a:noFill/>
              </a:ln>
              <a:effectLst/>
            </c:spPr>
            <c:extLst>
              <c:ext xmlns:c16="http://schemas.microsoft.com/office/drawing/2014/chart" uri="{C3380CC4-5D6E-409C-BE32-E72D297353CC}">
                <c16:uniqueId val="{00000003-D5D6-46D2-A2FC-CDCD46554691}"/>
              </c:ext>
            </c:extLst>
          </c:dPt>
          <c:dLbls>
            <c:dLbl>
              <c:idx val="0"/>
              <c:layout>
                <c:manualLayout>
                  <c:x val="0.14554698454852022"/>
                  <c:y val="-8.79629255940472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5D6-46D2-A2FC-CDCD46554691}"/>
                </c:ext>
              </c:extLst>
            </c:dLbl>
            <c:dLbl>
              <c:idx val="1"/>
              <c:layout>
                <c:manualLayout>
                  <c:x val="-0.12777777777777777"/>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5D6-46D2-A2FC-CDCD46554691}"/>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month'!$A$4:$A$6</c:f>
              <c:strCache>
                <c:ptCount val="2"/>
                <c:pt idx="0">
                  <c:v>Feb</c:v>
                </c:pt>
                <c:pt idx="1">
                  <c:v>Mar</c:v>
                </c:pt>
              </c:strCache>
            </c:strRef>
          </c:cat>
          <c:val>
            <c:numRef>
              <c:f>'Revenue by month'!$B$4:$B$6</c:f>
              <c:numCache>
                <c:formatCode>0.00%</c:formatCode>
                <c:ptCount val="2"/>
                <c:pt idx="0">
                  <c:v>0.52089985486211898</c:v>
                </c:pt>
                <c:pt idx="1">
                  <c:v>0.47910014513788096</c:v>
                </c:pt>
              </c:numCache>
            </c:numRef>
          </c:val>
          <c:extLst>
            <c:ext xmlns:c16="http://schemas.microsoft.com/office/drawing/2014/chart" uri="{C3380CC4-5D6E-409C-BE32-E72D297353CC}">
              <c16:uniqueId val="{00000004-D5D6-46D2-A2FC-CDCD4655469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8791097987751535"/>
          <c:y val="0.51444579043004235"/>
          <c:w val="0.14574308361957408"/>
          <c:h val="0.32408347557953859"/>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Georgia" panose="02040502050405020303" pitchFamily="18" charset="0"/>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19B1.xlsx]Top 5 coffee by revenue!PivotTable6</c:name>
    <c:fmtId val="3"/>
  </c:pivotSource>
  <c:chart>
    <c:autoTitleDeleted val="1"/>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2">
              <a:lumMod val="60000"/>
              <a:lumOff val="40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40000"/>
              <a:lumOff val="60000"/>
            </a:schemeClr>
          </a:solidFill>
          <a:ln>
            <a:noFill/>
          </a:ln>
          <a:effectLst/>
        </c:spPr>
      </c:pivotFmt>
      <c:pivotFmt>
        <c:idx val="5"/>
        <c:spPr>
          <a:solidFill>
            <a:schemeClr val="accent2">
              <a:lumMod val="40000"/>
              <a:lumOff val="60000"/>
            </a:schemeClr>
          </a:solidFill>
          <a:ln>
            <a:noFill/>
          </a:ln>
          <a:effectLst/>
        </c:spPr>
      </c:pivotFmt>
      <c:pivotFmt>
        <c:idx val="6"/>
        <c:spPr>
          <a:solidFill>
            <a:schemeClr val="accent2">
              <a:lumMod val="20000"/>
              <a:lumOff val="80000"/>
            </a:schemeClr>
          </a:solidFill>
          <a:ln>
            <a:noFill/>
          </a:ln>
          <a:effectLst/>
        </c:spPr>
      </c:pivotFmt>
      <c:pivotFmt>
        <c:idx val="7"/>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75000"/>
            </a:schemeClr>
          </a:solidFill>
          <a:ln>
            <a:noFill/>
          </a:ln>
          <a:effectLst/>
        </c:spPr>
      </c:pivotFmt>
      <c:pivotFmt>
        <c:idx val="9"/>
        <c:spPr>
          <a:solidFill>
            <a:schemeClr val="accent2">
              <a:lumMod val="60000"/>
              <a:lumOff val="40000"/>
            </a:schemeClr>
          </a:solidFill>
          <a:ln>
            <a:noFill/>
          </a:ln>
          <a:effectLst/>
        </c:spPr>
      </c:pivotFmt>
      <c:pivotFmt>
        <c:idx val="10"/>
        <c:spPr>
          <a:solidFill>
            <a:schemeClr val="accent2">
              <a:lumMod val="60000"/>
              <a:lumOff val="40000"/>
            </a:schemeClr>
          </a:solidFill>
          <a:ln>
            <a:noFill/>
          </a:ln>
          <a:effectLst/>
        </c:spPr>
      </c:pivotFmt>
      <c:pivotFmt>
        <c:idx val="11"/>
        <c:spPr>
          <a:solidFill>
            <a:schemeClr val="accent2">
              <a:lumMod val="40000"/>
              <a:lumOff val="60000"/>
            </a:schemeClr>
          </a:solidFill>
          <a:ln>
            <a:noFill/>
          </a:ln>
          <a:effectLst/>
        </c:spPr>
      </c:pivotFmt>
      <c:pivotFmt>
        <c:idx val="12"/>
        <c:spPr>
          <a:solidFill>
            <a:schemeClr val="accent2">
              <a:lumMod val="40000"/>
              <a:lumOff val="60000"/>
            </a:schemeClr>
          </a:solidFill>
          <a:ln>
            <a:noFill/>
          </a:ln>
          <a:effectLst/>
        </c:spPr>
      </c:pivotFmt>
      <c:pivotFmt>
        <c:idx val="13"/>
        <c:spPr>
          <a:solidFill>
            <a:schemeClr val="accent2">
              <a:lumMod val="20000"/>
              <a:lumOff val="80000"/>
            </a:schemeClr>
          </a:solidFill>
          <a:ln>
            <a:noFill/>
          </a:ln>
          <a:effectLst/>
        </c:spPr>
      </c:pivotFmt>
      <c:pivotFmt>
        <c:idx val="14"/>
        <c:spPr>
          <a:solidFill>
            <a:schemeClr val="accent2">
              <a:lumMod val="75000"/>
            </a:schemeClr>
          </a:solidFill>
          <a:ln>
            <a:noFill/>
          </a:ln>
          <a:effectLst/>
        </c:spPr>
      </c:pivotFmt>
      <c:pivotFmt>
        <c:idx val="15"/>
        <c:spPr>
          <a:solidFill>
            <a:schemeClr val="accent2">
              <a:lumMod val="60000"/>
              <a:lumOff val="40000"/>
            </a:schemeClr>
          </a:solidFill>
          <a:ln>
            <a:noFill/>
          </a:ln>
          <a:effectLst/>
        </c:spPr>
      </c:pivotFmt>
      <c:pivotFmt>
        <c:idx val="16"/>
        <c:spPr>
          <a:solidFill>
            <a:schemeClr val="accent2">
              <a:lumMod val="40000"/>
              <a:lumOff val="60000"/>
            </a:schemeClr>
          </a:solidFill>
          <a:ln>
            <a:noFill/>
          </a:ln>
          <a:effectLst/>
        </c:spPr>
      </c:pivotFmt>
      <c:pivotFmt>
        <c:idx val="17"/>
        <c:spPr>
          <a:solidFill>
            <a:schemeClr val="accent2">
              <a:lumMod val="20000"/>
              <a:lumOff val="80000"/>
            </a:schemeClr>
          </a:solidFill>
          <a:ln>
            <a:noFill/>
          </a:ln>
          <a:effectLst/>
        </c:spPr>
      </c:pivotFmt>
      <c:pivotFmt>
        <c:idx val="18"/>
        <c:spPr>
          <a:solidFill>
            <a:schemeClr val="accent2">
              <a:lumMod val="50000"/>
            </a:schemeClr>
          </a:solidFill>
          <a:ln>
            <a:noFill/>
          </a:ln>
          <a:effectLst/>
        </c:spPr>
      </c:pivotFmt>
      <c:pivotFmt>
        <c:idx val="19"/>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lumMod val="50000"/>
            </a:schemeClr>
          </a:solidFill>
          <a:ln>
            <a:noFill/>
          </a:ln>
          <a:effectLst/>
        </c:spPr>
      </c:pivotFmt>
      <c:pivotFmt>
        <c:idx val="21"/>
        <c:spPr>
          <a:solidFill>
            <a:schemeClr val="accent2">
              <a:lumMod val="75000"/>
            </a:schemeClr>
          </a:solidFill>
          <a:ln>
            <a:noFill/>
          </a:ln>
          <a:effectLst/>
        </c:spPr>
      </c:pivotFmt>
      <c:pivotFmt>
        <c:idx val="22"/>
        <c:spPr>
          <a:solidFill>
            <a:schemeClr val="accent2">
              <a:lumMod val="60000"/>
              <a:lumOff val="40000"/>
            </a:schemeClr>
          </a:solidFill>
          <a:ln>
            <a:noFill/>
          </a:ln>
          <a:effectLst/>
        </c:spPr>
      </c:pivotFmt>
      <c:pivotFmt>
        <c:idx val="23"/>
        <c:spPr>
          <a:solidFill>
            <a:schemeClr val="accent2">
              <a:lumMod val="40000"/>
              <a:lumOff val="60000"/>
            </a:schemeClr>
          </a:solidFill>
          <a:ln>
            <a:noFill/>
          </a:ln>
          <a:effectLst/>
        </c:spPr>
      </c:pivotFmt>
      <c:pivotFmt>
        <c:idx val="24"/>
        <c:spPr>
          <a:solidFill>
            <a:schemeClr val="accent2">
              <a:lumMod val="20000"/>
              <a:lumOff val="80000"/>
            </a:schemeClr>
          </a:solidFill>
          <a:ln>
            <a:noFill/>
          </a:ln>
          <a:effectLst/>
        </c:spPr>
      </c:pivotFmt>
      <c:pivotFmt>
        <c:idx val="25"/>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6A4A3A"/>
          </a:solidFill>
          <a:ln>
            <a:noFill/>
          </a:ln>
          <a:effectLst/>
        </c:spPr>
        <c:dLbl>
          <c:idx val="0"/>
          <c:layout>
            <c:manualLayout>
              <c:x val="-0.13119617640344589"/>
              <c:y val="-3.9817978538423088E-2"/>
            </c:manualLayout>
          </c:layout>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4529158051545547"/>
                  <c:h val="0.19980661630580709"/>
                </c:manualLayout>
              </c15:layout>
            </c:ext>
          </c:extLst>
        </c:dLbl>
      </c:pivotFmt>
      <c:pivotFmt>
        <c:idx val="27"/>
        <c:spPr>
          <a:solidFill>
            <a:srgbClr val="967267"/>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Georgia" panose="02040502050405020303" pitchFamily="18" charset="0"/>
                  <a:ea typeface="+mn-ea"/>
                  <a:cs typeface="+mn-cs"/>
                </a:defRPr>
              </a:pPr>
              <a:endParaRPr lang="en-NG"/>
            </a:p>
          </c:txPr>
          <c:showLegendKey val="0"/>
          <c:showVal val="1"/>
          <c:showCatName val="0"/>
          <c:showSerName val="0"/>
          <c:showPercent val="1"/>
          <c:showBubbleSize val="1"/>
          <c:extLst>
            <c:ext xmlns:c15="http://schemas.microsoft.com/office/drawing/2012/chart" uri="{CE6537A1-D6FC-4f65-9D91-7224C49458BB}"/>
          </c:extLst>
        </c:dLbl>
      </c:pivotFmt>
      <c:pivotFmt>
        <c:idx val="28"/>
        <c:spPr>
          <a:solidFill>
            <a:srgbClr val="967267"/>
          </a:solidFill>
          <a:ln>
            <a:noFill/>
          </a:ln>
          <a:effectLst/>
        </c:spPr>
        <c:dLbl>
          <c:idx val="0"/>
          <c:layout>
            <c:manualLayout>
              <c:x val="2.0750984913170206E-2"/>
              <c:y val="1.5927191415369166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Georgia" panose="02040502050405020303" pitchFamily="18" charset="0"/>
                  <a:ea typeface="+mn-ea"/>
                  <a:cs typeface="+mn-cs"/>
                </a:defRPr>
              </a:pPr>
              <a:endParaRPr lang="en-NG"/>
            </a:p>
          </c:txPr>
          <c:showLegendKey val="0"/>
          <c:showVal val="1"/>
          <c:showCatName val="0"/>
          <c:showSerName val="0"/>
          <c:showPercent val="1"/>
          <c:showBubbleSize val="1"/>
          <c:extLst>
            <c:ext xmlns:c15="http://schemas.microsoft.com/office/drawing/2012/chart" uri="{CE6537A1-D6FC-4f65-9D91-7224C49458BB}"/>
          </c:extLst>
        </c:dLbl>
      </c:pivotFmt>
      <c:pivotFmt>
        <c:idx val="29"/>
        <c:spPr>
          <a:solidFill>
            <a:srgbClr val="B08C7E"/>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261707967117742"/>
                  <c:h val="0.31344712705446659"/>
                </c:manualLayout>
              </c15:layout>
            </c:ext>
          </c:extLst>
        </c:dLbl>
      </c:pivotFmt>
      <c:pivotFmt>
        <c:idx val="30"/>
        <c:spPr>
          <a:solidFill>
            <a:srgbClr val="D2BAB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Georgia" panose="02040502050405020303" pitchFamily="18" charset="0"/>
                  <a:ea typeface="+mn-ea"/>
                  <a:cs typeface="+mn-cs"/>
                </a:defRPr>
              </a:pPr>
              <a:endParaRPr lang="en-NG"/>
            </a:p>
          </c:txPr>
          <c:showLegendKey val="0"/>
          <c:showVal val="1"/>
          <c:showCatName val="0"/>
          <c:showSerName val="0"/>
          <c:showPercent val="1"/>
          <c:showBubbleSize val="1"/>
          <c:extLst>
            <c:ext xmlns:c15="http://schemas.microsoft.com/office/drawing/2012/chart" uri="{CE6537A1-D6FC-4f65-9D91-7224C49458BB}"/>
          </c:extLst>
        </c:dLbl>
      </c:pivotFmt>
    </c:pivotFmts>
    <c:plotArea>
      <c:layout>
        <c:manualLayout>
          <c:layoutTarget val="inner"/>
          <c:xMode val="edge"/>
          <c:yMode val="edge"/>
          <c:x val="0.51794551711034253"/>
          <c:y val="2.3890787123053855E-2"/>
          <c:w val="0.46130349797648712"/>
          <c:h val="0.92036404292315377"/>
        </c:manualLayout>
      </c:layout>
      <c:barChart>
        <c:barDir val="bar"/>
        <c:grouping val="clustered"/>
        <c:varyColors val="0"/>
        <c:ser>
          <c:idx val="0"/>
          <c:order val="0"/>
          <c:tx>
            <c:strRef>
              <c:f>'Top 5 coffee by revenue'!$B$3</c:f>
              <c:strCache>
                <c:ptCount val="1"/>
                <c:pt idx="0">
                  <c:v>Total</c:v>
                </c:pt>
              </c:strCache>
            </c:strRef>
          </c:tx>
          <c:spPr>
            <a:solidFill>
              <a:schemeClr val="accent2">
                <a:lumMod val="50000"/>
              </a:schemeClr>
            </a:solidFill>
            <a:ln>
              <a:noFill/>
            </a:ln>
            <a:effectLst/>
          </c:spPr>
          <c:invertIfNegative val="0"/>
          <c:dPt>
            <c:idx val="0"/>
            <c:invertIfNegative val="0"/>
            <c:bubble3D val="0"/>
            <c:spPr>
              <a:solidFill>
                <a:srgbClr val="D2BAB0"/>
              </a:solidFill>
              <a:ln>
                <a:noFill/>
              </a:ln>
              <a:effectLst/>
            </c:spPr>
            <c:extLst>
              <c:ext xmlns:c16="http://schemas.microsoft.com/office/drawing/2014/chart" uri="{C3380CC4-5D6E-409C-BE32-E72D297353CC}">
                <c16:uniqueId val="{00000001-59B5-4031-A2F6-035B7F28508F}"/>
              </c:ext>
            </c:extLst>
          </c:dPt>
          <c:dPt>
            <c:idx val="1"/>
            <c:invertIfNegative val="0"/>
            <c:bubble3D val="0"/>
            <c:spPr>
              <a:solidFill>
                <a:srgbClr val="B08C7E"/>
              </a:solidFill>
              <a:ln>
                <a:noFill/>
              </a:ln>
              <a:effectLst/>
            </c:spPr>
            <c:extLst>
              <c:ext xmlns:c16="http://schemas.microsoft.com/office/drawing/2014/chart" uri="{C3380CC4-5D6E-409C-BE32-E72D297353CC}">
                <c16:uniqueId val="{00000003-59B5-4031-A2F6-035B7F28508F}"/>
              </c:ext>
            </c:extLst>
          </c:dPt>
          <c:dPt>
            <c:idx val="2"/>
            <c:invertIfNegative val="0"/>
            <c:bubble3D val="0"/>
            <c:spPr>
              <a:solidFill>
                <a:srgbClr val="967267"/>
              </a:solidFill>
              <a:ln>
                <a:noFill/>
              </a:ln>
              <a:effectLst/>
            </c:spPr>
            <c:extLst>
              <c:ext xmlns:c16="http://schemas.microsoft.com/office/drawing/2014/chart" uri="{C3380CC4-5D6E-409C-BE32-E72D297353CC}">
                <c16:uniqueId val="{00000005-59B5-4031-A2F6-035B7F28508F}"/>
              </c:ext>
            </c:extLst>
          </c:dPt>
          <c:dPt>
            <c:idx val="3"/>
            <c:invertIfNegative val="0"/>
            <c:bubble3D val="0"/>
            <c:spPr>
              <a:solidFill>
                <a:srgbClr val="967267"/>
              </a:solidFill>
              <a:ln>
                <a:noFill/>
              </a:ln>
              <a:effectLst/>
            </c:spPr>
            <c:extLst>
              <c:ext xmlns:c16="http://schemas.microsoft.com/office/drawing/2014/chart" uri="{C3380CC4-5D6E-409C-BE32-E72D297353CC}">
                <c16:uniqueId val="{00000007-59B5-4031-A2F6-035B7F28508F}"/>
              </c:ext>
            </c:extLst>
          </c:dPt>
          <c:dPt>
            <c:idx val="4"/>
            <c:invertIfNegative val="0"/>
            <c:bubble3D val="0"/>
            <c:spPr>
              <a:solidFill>
                <a:srgbClr val="6A4A3A"/>
              </a:solidFill>
              <a:ln>
                <a:noFill/>
              </a:ln>
              <a:effectLst/>
            </c:spPr>
            <c:extLst>
              <c:ext xmlns:c16="http://schemas.microsoft.com/office/drawing/2014/chart" uri="{C3380CC4-5D6E-409C-BE32-E72D297353CC}">
                <c16:uniqueId val="{00000009-59B5-4031-A2F6-035B7F28508F}"/>
              </c:ext>
            </c:extLst>
          </c:dPt>
          <c:dLbls>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Georgia" panose="02040502050405020303" pitchFamily="18" charset="0"/>
                      <a:ea typeface="+mn-ea"/>
                      <a:cs typeface="+mn-cs"/>
                    </a:defRPr>
                  </a:pPr>
                  <a:endParaRPr lang="en-NG"/>
                </a:p>
              </c:txPr>
              <c:showLegendKey val="0"/>
              <c:showVal val="1"/>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59B5-4031-A2F6-035B7F28508F}"/>
                </c:ext>
              </c:extLst>
            </c:dLbl>
            <c:dLbl>
              <c:idx val="1"/>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261707967117742"/>
                      <c:h val="0.31344712705446659"/>
                    </c:manualLayout>
                  </c15:layout>
                </c:ext>
                <c:ext xmlns:c16="http://schemas.microsoft.com/office/drawing/2014/chart" uri="{C3380CC4-5D6E-409C-BE32-E72D297353CC}">
                  <c16:uniqueId val="{00000003-59B5-4031-A2F6-035B7F28508F}"/>
                </c:ext>
              </c:extLst>
            </c:dLbl>
            <c:dLbl>
              <c:idx val="2"/>
              <c:layout>
                <c:manualLayout>
                  <c:x val="2.0750984913170206E-2"/>
                  <c:y val="1.5927191415369166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Georgia" panose="02040502050405020303" pitchFamily="18" charset="0"/>
                      <a:ea typeface="+mn-ea"/>
                      <a:cs typeface="+mn-cs"/>
                    </a:defRPr>
                  </a:pPr>
                  <a:endParaRPr lang="en-NG"/>
                </a:p>
              </c:txPr>
              <c:showLegendKey val="0"/>
              <c:showVal val="1"/>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5-59B5-4031-A2F6-035B7F28508F}"/>
                </c:ext>
              </c:extLst>
            </c:dLbl>
            <c:dLbl>
              <c:idx val="3"/>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Georgia" panose="02040502050405020303" pitchFamily="18" charset="0"/>
                      <a:ea typeface="+mn-ea"/>
                      <a:cs typeface="+mn-cs"/>
                    </a:defRPr>
                  </a:pPr>
                  <a:endParaRPr lang="en-NG"/>
                </a:p>
              </c:txPr>
              <c:showLegendKey val="0"/>
              <c:showVal val="1"/>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7-59B5-4031-A2F6-035B7F28508F}"/>
                </c:ext>
              </c:extLst>
            </c:dLbl>
            <c:dLbl>
              <c:idx val="4"/>
              <c:layout>
                <c:manualLayout>
                  <c:x val="-0.13119617640344589"/>
                  <c:y val="-3.9817978538423088E-2"/>
                </c:manualLayout>
              </c:layout>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4529158051545547"/>
                      <c:h val="0.19980661630580709"/>
                    </c:manualLayout>
                  </c15:layout>
                </c:ext>
                <c:ext xmlns:c16="http://schemas.microsoft.com/office/drawing/2014/chart" uri="{C3380CC4-5D6E-409C-BE32-E72D297353CC}">
                  <c16:uniqueId val="{00000009-59B5-4031-A2F6-035B7F28508F}"/>
                </c:ext>
              </c:extLst>
            </c:dLbl>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coffee by revenue'!$A$4:$A$9</c:f>
              <c:strCache>
                <c:ptCount val="5"/>
                <c:pt idx="0">
                  <c:v>Coffee with Irish whiskey</c:v>
                </c:pt>
                <c:pt idx="1">
                  <c:v>Cappuccino</c:v>
                </c:pt>
                <c:pt idx="2">
                  <c:v>Irish whiskey</c:v>
                </c:pt>
                <c:pt idx="3">
                  <c:v>Latte</c:v>
                </c:pt>
                <c:pt idx="4">
                  <c:v>Americano with milk</c:v>
                </c:pt>
              </c:strCache>
            </c:strRef>
          </c:cat>
          <c:val>
            <c:numRef>
              <c:f>'Top 5 coffee by revenue'!$B$4:$B$9</c:f>
              <c:numCache>
                <c:formatCode>[$$-45C]#,##0.00</c:formatCode>
                <c:ptCount val="5"/>
                <c:pt idx="0">
                  <c:v>464</c:v>
                </c:pt>
                <c:pt idx="1">
                  <c:v>480</c:v>
                </c:pt>
                <c:pt idx="2">
                  <c:v>525</c:v>
                </c:pt>
                <c:pt idx="3">
                  <c:v>792</c:v>
                </c:pt>
                <c:pt idx="4">
                  <c:v>1100</c:v>
                </c:pt>
              </c:numCache>
            </c:numRef>
          </c:val>
          <c:extLst>
            <c:ext xmlns:c16="http://schemas.microsoft.com/office/drawing/2014/chart" uri="{C3380CC4-5D6E-409C-BE32-E72D297353CC}">
              <c16:uniqueId val="{0000000E-59B5-4031-A2F6-035B7F28508F}"/>
            </c:ext>
          </c:extLst>
        </c:ser>
        <c:dLbls>
          <c:showLegendKey val="0"/>
          <c:showVal val="0"/>
          <c:showCatName val="0"/>
          <c:showSerName val="0"/>
          <c:showPercent val="0"/>
          <c:showBubbleSize val="0"/>
        </c:dLbls>
        <c:gapWidth val="20"/>
        <c:axId val="1455553056"/>
        <c:axId val="1455552640"/>
      </c:barChart>
      <c:valAx>
        <c:axId val="1455552640"/>
        <c:scaling>
          <c:orientation val="minMax"/>
        </c:scaling>
        <c:delete val="1"/>
        <c:axPos val="b"/>
        <c:majorGridlines>
          <c:spPr>
            <a:ln w="9525" cap="flat" cmpd="sng" algn="ctr">
              <a:solidFill>
                <a:schemeClr val="bg1">
                  <a:lumMod val="95000"/>
                </a:schemeClr>
              </a:solidFill>
              <a:round/>
            </a:ln>
            <a:effectLst/>
          </c:spPr>
        </c:majorGridlines>
        <c:numFmt formatCode="[$$-45C]#,##0.00" sourceLinked="1"/>
        <c:majorTickMark val="out"/>
        <c:minorTickMark val="none"/>
        <c:tickLblPos val="nextTo"/>
        <c:crossAx val="1455553056"/>
        <c:crosses val="autoZero"/>
        <c:crossBetween val="between"/>
      </c:valAx>
      <c:catAx>
        <c:axId val="1455553056"/>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tx1"/>
                </a:solidFill>
                <a:latin typeface="Georgia" panose="02040502050405020303" pitchFamily="18" charset="0"/>
                <a:ea typeface="+mn-ea"/>
                <a:cs typeface="+mn-cs"/>
              </a:defRPr>
            </a:pPr>
            <a:endParaRPr lang="en-NG"/>
          </a:p>
        </c:txPr>
        <c:crossAx val="1455552640"/>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19B1.xlsx]Day with High sale!PivotTable6</c:name>
    <c:fmtId val="2"/>
  </c:pivotSource>
  <c:chart>
    <c:autoTitleDeleted val="1"/>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2">
              <a:lumMod val="60000"/>
              <a:lumOff val="40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40000"/>
              <a:lumOff val="60000"/>
            </a:schemeClr>
          </a:solidFill>
          <a:ln>
            <a:noFill/>
          </a:ln>
          <a:effectLst/>
        </c:spPr>
      </c:pivotFmt>
      <c:pivotFmt>
        <c:idx val="5"/>
        <c:spPr>
          <a:solidFill>
            <a:schemeClr val="accent2">
              <a:lumMod val="40000"/>
              <a:lumOff val="60000"/>
            </a:schemeClr>
          </a:solidFill>
          <a:ln>
            <a:noFill/>
          </a:ln>
          <a:effectLst/>
        </c:spPr>
      </c:pivotFmt>
      <c:pivotFmt>
        <c:idx val="6"/>
        <c:spPr>
          <a:solidFill>
            <a:schemeClr val="accent2">
              <a:lumMod val="20000"/>
              <a:lumOff val="80000"/>
            </a:schemeClr>
          </a:solidFill>
          <a:ln>
            <a:noFill/>
          </a:ln>
          <a:effectLst/>
        </c:spPr>
      </c:pivotFmt>
      <c:pivotFmt>
        <c:idx val="7"/>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75000"/>
            </a:schemeClr>
          </a:solidFill>
          <a:ln>
            <a:noFill/>
          </a:ln>
          <a:effectLst/>
        </c:spPr>
      </c:pivotFmt>
      <c:pivotFmt>
        <c:idx val="9"/>
        <c:spPr>
          <a:solidFill>
            <a:schemeClr val="accent2">
              <a:lumMod val="60000"/>
              <a:lumOff val="40000"/>
            </a:schemeClr>
          </a:solidFill>
          <a:ln>
            <a:noFill/>
          </a:ln>
          <a:effectLst/>
        </c:spPr>
      </c:pivotFmt>
      <c:pivotFmt>
        <c:idx val="10"/>
        <c:spPr>
          <a:solidFill>
            <a:schemeClr val="accent2">
              <a:lumMod val="60000"/>
              <a:lumOff val="40000"/>
            </a:schemeClr>
          </a:solidFill>
          <a:ln>
            <a:noFill/>
          </a:ln>
          <a:effectLst/>
        </c:spPr>
      </c:pivotFmt>
      <c:pivotFmt>
        <c:idx val="11"/>
        <c:spPr>
          <a:solidFill>
            <a:schemeClr val="accent2">
              <a:lumMod val="40000"/>
              <a:lumOff val="60000"/>
            </a:schemeClr>
          </a:solidFill>
          <a:ln>
            <a:noFill/>
          </a:ln>
          <a:effectLst/>
        </c:spPr>
      </c:pivotFmt>
      <c:pivotFmt>
        <c:idx val="12"/>
        <c:spPr>
          <a:solidFill>
            <a:schemeClr val="accent2">
              <a:lumMod val="40000"/>
              <a:lumOff val="60000"/>
            </a:schemeClr>
          </a:solidFill>
          <a:ln>
            <a:noFill/>
          </a:ln>
          <a:effectLst/>
        </c:spPr>
      </c:pivotFmt>
      <c:pivotFmt>
        <c:idx val="13"/>
        <c:spPr>
          <a:solidFill>
            <a:schemeClr val="accent2">
              <a:lumMod val="20000"/>
              <a:lumOff val="80000"/>
            </a:schemeClr>
          </a:solidFill>
          <a:ln>
            <a:noFill/>
          </a:ln>
          <a:effectLst/>
        </c:spPr>
      </c:pivotFmt>
      <c:pivotFmt>
        <c:idx val="1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6A4A3A"/>
          </a:solidFill>
          <a:ln>
            <a:noFill/>
          </a:ln>
          <a:effectLst/>
        </c:spPr>
        <c:dLbl>
          <c:idx val="0"/>
          <c:layout>
            <c:manualLayout>
              <c:x val="-5.2930391575068863E-3"/>
              <c:y val="-7.0682367576584345E-8"/>
            </c:manualLayout>
          </c:layout>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56215834245047014"/>
                  <c:h val="6.7784774435097978E-2"/>
                </c:manualLayout>
              </c15:layout>
            </c:ext>
          </c:extLst>
        </c:dLbl>
      </c:pivotFmt>
      <c:pivotFmt>
        <c:idx val="16"/>
        <c:spPr>
          <a:solidFill>
            <a:srgbClr val="967267"/>
          </a:solidFill>
          <a:ln>
            <a:noFill/>
          </a:ln>
          <a:effectLst/>
        </c:spPr>
        <c:dLbl>
          <c:idx val="0"/>
          <c:layout>
            <c:manualLayout>
              <c:x val="-4.7217168720051807E-2"/>
              <c:y val="5.7463351192411543E-3"/>
            </c:manualLayout>
          </c:layout>
          <c:spPr>
            <a:noFill/>
            <a:ln>
              <a:noFill/>
            </a:ln>
            <a:effectLst/>
          </c:spPr>
          <c:txPr>
            <a:bodyPr rot="0" spcFirstLastPara="1" vertOverflow="ellipsis" vert="horz" wrap="square" lIns="38100" tIns="19050" rIns="38100" bIns="19050" anchor="ctr" anchorCtr="0">
              <a:noAutofit/>
            </a:bodyPr>
            <a:lstStyle/>
            <a:p>
              <a:pPr algn="ctr">
                <a:defRPr sz="1600" b="0" i="0" u="none" strike="noStrike" kern="1200" baseline="0">
                  <a:solidFill>
                    <a:schemeClr val="tx1"/>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53393949167515697"/>
                  <c:h val="4.572245426268972E-2"/>
                </c:manualLayout>
              </c15:layout>
            </c:ext>
          </c:extLst>
        </c:dLbl>
      </c:pivotFmt>
      <c:pivotFmt>
        <c:idx val="17"/>
        <c:spPr>
          <a:solidFill>
            <a:srgbClr val="967267"/>
          </a:solidFill>
          <a:ln>
            <a:noFill/>
          </a:ln>
          <a:effectLst/>
        </c:spPr>
        <c:dLbl>
          <c:idx val="0"/>
          <c:layout>
            <c:manualLayout>
              <c:x val="-3.3676518781608988E-2"/>
              <c:y val="1.6753134763001364E-3"/>
            </c:manualLayout>
          </c:layout>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52145681110060571"/>
                  <c:h val="5.137648939136924E-2"/>
                </c:manualLayout>
              </c15:layout>
            </c:ext>
          </c:extLst>
        </c:dLbl>
      </c:pivotFmt>
      <c:pivotFmt>
        <c:idx val="18"/>
        <c:spPr>
          <a:solidFill>
            <a:srgbClr val="B08C7E"/>
          </a:solidFill>
          <a:ln>
            <a:noFill/>
          </a:ln>
          <a:effectLst/>
        </c:spPr>
        <c:dLbl>
          <c:idx val="0"/>
          <c:layout>
            <c:manualLayout>
              <c:x val="-3.8260099377341615E-2"/>
              <c:y val="3.8308429579155868E-3"/>
            </c:manualLayout>
          </c:layout>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48857634910507886"/>
                  <c:h val="5.6845917739278815E-2"/>
                </c:manualLayout>
              </c15:layout>
            </c:ext>
          </c:extLst>
        </c:dLbl>
      </c:pivotFmt>
      <c:pivotFmt>
        <c:idx val="19"/>
        <c:spPr>
          <a:solidFill>
            <a:srgbClr val="B08C7E"/>
          </a:solidFill>
          <a:ln>
            <a:noFill/>
          </a:ln>
          <a:effectLst/>
        </c:spPr>
        <c:dLbl>
          <c:idx val="0"/>
          <c:layout>
            <c:manualLayout>
              <c:x val="-0.11643402491928577"/>
              <c:y val="-1.9154461730214987E-3"/>
            </c:manualLayout>
          </c:layout>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54355233111121248"/>
                  <c:h val="4.5999364433844635E-2"/>
                </c:manualLayout>
              </c15:layout>
            </c:ext>
          </c:extLst>
        </c:dLbl>
      </c:pivotFmt>
      <c:pivotFmt>
        <c:idx val="20"/>
        <c:spPr>
          <a:solidFill>
            <a:srgbClr val="D2BAB0"/>
          </a:solidFill>
          <a:ln>
            <a:noFill/>
          </a:ln>
          <a:effectLst/>
        </c:spPr>
        <c:dLbl>
          <c:idx val="0"/>
          <c:layout>
            <c:manualLayout>
              <c:x val="-9.2496898136154776E-2"/>
              <c:y val="9.4387757795300342E-3"/>
            </c:manualLayout>
          </c:layout>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43983465502431418"/>
                  <c:h val="3.9075856042305117E-2"/>
                </c:manualLayout>
              </c15:layout>
            </c:ext>
          </c:extLst>
        </c:dLbl>
      </c:pivotFmt>
      <c:pivotFmt>
        <c:idx val="21"/>
        <c:spPr>
          <a:solidFill>
            <a:srgbClr val="6A4A3A"/>
          </a:solidFill>
          <a:ln>
            <a:noFill/>
          </a:ln>
          <a:effectLst/>
        </c:spPr>
        <c:dLbl>
          <c:idx val="0"/>
          <c:layout>
            <c:manualLayout>
              <c:x val="-0.1626678991060897"/>
              <c:y val="-1.7308393922515527E-3"/>
            </c:manualLayout>
          </c:layout>
          <c:tx>
            <c:rich>
              <a:bodyPr rot="0" spcFirstLastPara="1" vertOverflow="ellipsis" vert="horz" wrap="square" lIns="38100" tIns="19050" rIns="38100" bIns="19050" anchor="ctr" anchorCtr="1">
                <a:noAutofit/>
              </a:bodyPr>
              <a:lstStyle/>
              <a:p>
                <a:pPr>
                  <a:defRPr sz="1600" b="0" i="0" u="none" strike="noStrike" kern="1200" baseline="0">
                    <a:solidFill>
                      <a:schemeClr val="tx1">
                        <a:lumMod val="75000"/>
                        <a:lumOff val="25000"/>
                      </a:schemeClr>
                    </a:solidFill>
                    <a:latin typeface="Georgia" panose="02040502050405020303" pitchFamily="18" charset="0"/>
                    <a:ea typeface="+mn-ea"/>
                    <a:cs typeface="+mn-cs"/>
                  </a:defRPr>
                </a:pPr>
                <a:fld id="{814582E2-3C61-49A7-84E9-2C9C2B7B8807}" type="VALUE">
                  <a:rPr lang="en-US" sz="1600">
                    <a:solidFill>
                      <a:schemeClr val="bg1"/>
                    </a:solidFill>
                  </a:rPr>
                  <a:pPr>
                    <a:defRPr sz="1600">
                      <a:latin typeface="Georgia" panose="02040502050405020303" pitchFamily="18" charset="0"/>
                    </a:defRPr>
                  </a:pPr>
                  <a:t>[VALUE]</a:t>
                </a:fld>
                <a:endParaRPr lang="en-NG"/>
              </a:p>
            </c:rich>
          </c:tx>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53464942944041383"/>
                  <c:h val="4.6091517001696301E-2"/>
                </c:manualLayout>
              </c15:layout>
              <c15:dlblFieldTable/>
              <c15:showDataLabelsRange val="0"/>
            </c:ext>
          </c:extLst>
        </c:dLbl>
      </c:pivotFmt>
    </c:pivotFmts>
    <c:plotArea>
      <c:layout>
        <c:manualLayout>
          <c:layoutTarget val="inner"/>
          <c:xMode val="edge"/>
          <c:yMode val="edge"/>
          <c:x val="0.23586406029954918"/>
          <c:y val="2.1069848315639184E-2"/>
          <c:w val="0.72700778544414235"/>
          <c:h val="0.9578601620039866"/>
        </c:manualLayout>
      </c:layout>
      <c:barChart>
        <c:barDir val="bar"/>
        <c:grouping val="clustered"/>
        <c:varyColors val="0"/>
        <c:ser>
          <c:idx val="0"/>
          <c:order val="0"/>
          <c:tx>
            <c:strRef>
              <c:f>'Day with High sale'!$B$3</c:f>
              <c:strCache>
                <c:ptCount val="1"/>
                <c:pt idx="0">
                  <c:v>Total</c:v>
                </c:pt>
              </c:strCache>
            </c:strRef>
          </c:tx>
          <c:spPr>
            <a:solidFill>
              <a:schemeClr val="accent2">
                <a:lumMod val="50000"/>
              </a:schemeClr>
            </a:solidFill>
            <a:ln>
              <a:noFill/>
            </a:ln>
            <a:effectLst/>
          </c:spPr>
          <c:invertIfNegative val="0"/>
          <c:dPt>
            <c:idx val="0"/>
            <c:invertIfNegative val="0"/>
            <c:bubble3D val="0"/>
            <c:spPr>
              <a:solidFill>
                <a:srgbClr val="D2BAB0"/>
              </a:solidFill>
              <a:ln>
                <a:noFill/>
              </a:ln>
              <a:effectLst/>
            </c:spPr>
            <c:extLst>
              <c:ext xmlns:c16="http://schemas.microsoft.com/office/drawing/2014/chart" uri="{C3380CC4-5D6E-409C-BE32-E72D297353CC}">
                <c16:uniqueId val="{0000000E-1F75-4398-BF9B-E1B4934747A4}"/>
              </c:ext>
            </c:extLst>
          </c:dPt>
          <c:dPt>
            <c:idx val="1"/>
            <c:invertIfNegative val="0"/>
            <c:bubble3D val="0"/>
            <c:spPr>
              <a:solidFill>
                <a:srgbClr val="B08C7E"/>
              </a:solidFill>
              <a:ln>
                <a:noFill/>
              </a:ln>
              <a:effectLst/>
            </c:spPr>
            <c:extLst>
              <c:ext xmlns:c16="http://schemas.microsoft.com/office/drawing/2014/chart" uri="{C3380CC4-5D6E-409C-BE32-E72D297353CC}">
                <c16:uniqueId val="{00000001-1F75-4398-BF9B-E1B4934747A4}"/>
              </c:ext>
            </c:extLst>
          </c:dPt>
          <c:dPt>
            <c:idx val="2"/>
            <c:invertIfNegative val="0"/>
            <c:bubble3D val="0"/>
            <c:spPr>
              <a:solidFill>
                <a:srgbClr val="B08C7E"/>
              </a:solidFill>
              <a:ln>
                <a:noFill/>
              </a:ln>
              <a:effectLst/>
            </c:spPr>
            <c:extLst>
              <c:ext xmlns:c16="http://schemas.microsoft.com/office/drawing/2014/chart" uri="{C3380CC4-5D6E-409C-BE32-E72D297353CC}">
                <c16:uniqueId val="{00000003-1F75-4398-BF9B-E1B4934747A4}"/>
              </c:ext>
            </c:extLst>
          </c:dPt>
          <c:dPt>
            <c:idx val="3"/>
            <c:invertIfNegative val="0"/>
            <c:bubble3D val="0"/>
            <c:spPr>
              <a:solidFill>
                <a:srgbClr val="967267"/>
              </a:solidFill>
              <a:ln>
                <a:noFill/>
              </a:ln>
              <a:effectLst/>
            </c:spPr>
            <c:extLst>
              <c:ext xmlns:c16="http://schemas.microsoft.com/office/drawing/2014/chart" uri="{C3380CC4-5D6E-409C-BE32-E72D297353CC}">
                <c16:uniqueId val="{00000005-1F75-4398-BF9B-E1B4934747A4}"/>
              </c:ext>
            </c:extLst>
          </c:dPt>
          <c:dPt>
            <c:idx val="4"/>
            <c:invertIfNegative val="0"/>
            <c:bubble3D val="0"/>
            <c:spPr>
              <a:solidFill>
                <a:srgbClr val="967267"/>
              </a:solidFill>
              <a:ln>
                <a:noFill/>
              </a:ln>
              <a:effectLst/>
            </c:spPr>
            <c:extLst>
              <c:ext xmlns:c16="http://schemas.microsoft.com/office/drawing/2014/chart" uri="{C3380CC4-5D6E-409C-BE32-E72D297353CC}">
                <c16:uniqueId val="{00000007-1F75-4398-BF9B-E1B4934747A4}"/>
              </c:ext>
            </c:extLst>
          </c:dPt>
          <c:dPt>
            <c:idx val="5"/>
            <c:invertIfNegative val="0"/>
            <c:bubble3D val="0"/>
            <c:spPr>
              <a:solidFill>
                <a:srgbClr val="6A4A3A"/>
              </a:solidFill>
              <a:ln>
                <a:noFill/>
              </a:ln>
              <a:effectLst/>
            </c:spPr>
            <c:extLst>
              <c:ext xmlns:c16="http://schemas.microsoft.com/office/drawing/2014/chart" uri="{C3380CC4-5D6E-409C-BE32-E72D297353CC}">
                <c16:uniqueId val="{00000009-1F75-4398-BF9B-E1B4934747A4}"/>
              </c:ext>
            </c:extLst>
          </c:dPt>
          <c:dPt>
            <c:idx val="6"/>
            <c:invertIfNegative val="0"/>
            <c:bubble3D val="0"/>
            <c:spPr>
              <a:solidFill>
                <a:srgbClr val="6A4A3A"/>
              </a:solidFill>
              <a:ln>
                <a:noFill/>
              </a:ln>
              <a:effectLst/>
            </c:spPr>
            <c:extLst>
              <c:ext xmlns:c16="http://schemas.microsoft.com/office/drawing/2014/chart" uri="{C3380CC4-5D6E-409C-BE32-E72D297353CC}">
                <c16:uniqueId val="{0000000B-1F75-4398-BF9B-E1B4934747A4}"/>
              </c:ext>
            </c:extLst>
          </c:dPt>
          <c:dLbls>
            <c:dLbl>
              <c:idx val="0"/>
              <c:layout>
                <c:manualLayout>
                  <c:x val="-9.2496898136154776E-2"/>
                  <c:y val="9.4387757795300342E-3"/>
                </c:manualLayout>
              </c:layout>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43983465502431418"/>
                      <c:h val="3.9075856042305117E-2"/>
                    </c:manualLayout>
                  </c15:layout>
                </c:ext>
                <c:ext xmlns:c16="http://schemas.microsoft.com/office/drawing/2014/chart" uri="{C3380CC4-5D6E-409C-BE32-E72D297353CC}">
                  <c16:uniqueId val="{0000000E-1F75-4398-BF9B-E1B4934747A4}"/>
                </c:ext>
              </c:extLst>
            </c:dLbl>
            <c:dLbl>
              <c:idx val="1"/>
              <c:layout>
                <c:manualLayout>
                  <c:x val="-0.11643402491928577"/>
                  <c:y val="-1.9154461730214987E-3"/>
                </c:manualLayout>
              </c:layout>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54355233111121248"/>
                      <c:h val="4.5999364433844635E-2"/>
                    </c:manualLayout>
                  </c15:layout>
                </c:ext>
                <c:ext xmlns:c16="http://schemas.microsoft.com/office/drawing/2014/chart" uri="{C3380CC4-5D6E-409C-BE32-E72D297353CC}">
                  <c16:uniqueId val="{00000001-1F75-4398-BF9B-E1B4934747A4}"/>
                </c:ext>
              </c:extLst>
            </c:dLbl>
            <c:dLbl>
              <c:idx val="2"/>
              <c:layout>
                <c:manualLayout>
                  <c:x val="-3.8260099377341615E-2"/>
                  <c:y val="3.8308429579155868E-3"/>
                </c:manualLayout>
              </c:layout>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48857634910507886"/>
                      <c:h val="5.6845917739278815E-2"/>
                    </c:manualLayout>
                  </c15:layout>
                </c:ext>
                <c:ext xmlns:c16="http://schemas.microsoft.com/office/drawing/2014/chart" uri="{C3380CC4-5D6E-409C-BE32-E72D297353CC}">
                  <c16:uniqueId val="{00000003-1F75-4398-BF9B-E1B4934747A4}"/>
                </c:ext>
              </c:extLst>
            </c:dLbl>
            <c:dLbl>
              <c:idx val="3"/>
              <c:layout>
                <c:manualLayout>
                  <c:x val="-3.3676518781608988E-2"/>
                  <c:y val="1.6753134763001364E-3"/>
                </c:manualLayout>
              </c:layout>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52145681110060571"/>
                      <c:h val="5.137648939136924E-2"/>
                    </c:manualLayout>
                  </c15:layout>
                </c:ext>
                <c:ext xmlns:c16="http://schemas.microsoft.com/office/drawing/2014/chart" uri="{C3380CC4-5D6E-409C-BE32-E72D297353CC}">
                  <c16:uniqueId val="{00000005-1F75-4398-BF9B-E1B4934747A4}"/>
                </c:ext>
              </c:extLst>
            </c:dLbl>
            <c:dLbl>
              <c:idx val="4"/>
              <c:layout>
                <c:manualLayout>
                  <c:x val="-4.7217168720051807E-2"/>
                  <c:y val="5.7463351192411543E-3"/>
                </c:manualLayout>
              </c:layout>
              <c:spPr>
                <a:noFill/>
                <a:ln>
                  <a:noFill/>
                </a:ln>
                <a:effectLst/>
              </c:spPr>
              <c:txPr>
                <a:bodyPr rot="0" spcFirstLastPara="1" vertOverflow="ellipsis" vert="horz" wrap="square" lIns="38100" tIns="19050" rIns="38100" bIns="19050" anchor="ctr" anchorCtr="0">
                  <a:noAutofit/>
                </a:bodyPr>
                <a:lstStyle/>
                <a:p>
                  <a:pPr algn="ctr">
                    <a:defRPr sz="1600" b="0" i="0" u="none" strike="noStrike" kern="1200" baseline="0">
                      <a:solidFill>
                        <a:schemeClr val="tx1"/>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53393949167515697"/>
                      <c:h val="4.572245426268972E-2"/>
                    </c:manualLayout>
                  </c15:layout>
                </c:ext>
                <c:ext xmlns:c16="http://schemas.microsoft.com/office/drawing/2014/chart" uri="{C3380CC4-5D6E-409C-BE32-E72D297353CC}">
                  <c16:uniqueId val="{00000007-1F75-4398-BF9B-E1B4934747A4}"/>
                </c:ext>
              </c:extLst>
            </c:dLbl>
            <c:dLbl>
              <c:idx val="5"/>
              <c:layout>
                <c:manualLayout>
                  <c:x val="-5.2930391575068863E-3"/>
                  <c:y val="-7.0682367576584345E-8"/>
                </c:manualLayout>
              </c:layout>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56215834245047014"/>
                      <c:h val="6.7784774435097978E-2"/>
                    </c:manualLayout>
                  </c15:layout>
                </c:ext>
                <c:ext xmlns:c16="http://schemas.microsoft.com/office/drawing/2014/chart" uri="{C3380CC4-5D6E-409C-BE32-E72D297353CC}">
                  <c16:uniqueId val="{00000009-1F75-4398-BF9B-E1B4934747A4}"/>
                </c:ext>
              </c:extLst>
            </c:dLbl>
            <c:dLbl>
              <c:idx val="6"/>
              <c:layout>
                <c:manualLayout>
                  <c:x val="-0.1626678991060897"/>
                  <c:y val="-1.7308393922515527E-3"/>
                </c:manualLayout>
              </c:layout>
              <c:tx>
                <c:rich>
                  <a:bodyPr rot="0" spcFirstLastPara="1" vertOverflow="ellipsis" vert="horz" wrap="square" lIns="38100" tIns="19050" rIns="38100" bIns="19050" anchor="ctr" anchorCtr="1">
                    <a:noAutofit/>
                  </a:bodyPr>
                  <a:lstStyle/>
                  <a:p>
                    <a:pPr>
                      <a:defRPr sz="1600" b="0" i="0" u="none" strike="noStrike" kern="1200" baseline="0">
                        <a:solidFill>
                          <a:schemeClr val="tx1">
                            <a:lumMod val="75000"/>
                            <a:lumOff val="25000"/>
                          </a:schemeClr>
                        </a:solidFill>
                        <a:latin typeface="Georgia" panose="02040502050405020303" pitchFamily="18" charset="0"/>
                        <a:ea typeface="+mn-ea"/>
                        <a:cs typeface="+mn-cs"/>
                      </a:defRPr>
                    </a:pPr>
                    <a:fld id="{814582E2-3C61-49A7-84E9-2C9C2B7B8807}" type="VALUE">
                      <a:rPr lang="en-US" sz="1600">
                        <a:solidFill>
                          <a:schemeClr val="bg1"/>
                        </a:solidFill>
                      </a:rPr>
                      <a:pPr>
                        <a:defRPr sz="1600">
                          <a:latin typeface="Georgia" panose="02040502050405020303" pitchFamily="18" charset="0"/>
                        </a:defRPr>
                      </a:pPr>
                      <a:t>[VALUE]</a:t>
                    </a:fld>
                    <a:endParaRPr lang="en-NG"/>
                  </a:p>
                </c:rich>
              </c:tx>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53464942944041383"/>
                      <c:h val="4.6091517001696301E-2"/>
                    </c:manualLayout>
                  </c15:layout>
                  <c15:dlblFieldTable/>
                  <c15:showDataLabelsRange val="0"/>
                </c:ext>
                <c:ext xmlns:c16="http://schemas.microsoft.com/office/drawing/2014/chart" uri="{C3380CC4-5D6E-409C-BE32-E72D297353CC}">
                  <c16:uniqueId val="{0000000B-1F75-4398-BF9B-E1B4934747A4}"/>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 with High sale'!$A$4:$A$11</c:f>
              <c:strCache>
                <c:ptCount val="7"/>
                <c:pt idx="0">
                  <c:v>Tue</c:v>
                </c:pt>
                <c:pt idx="1">
                  <c:v>Thu</c:v>
                </c:pt>
                <c:pt idx="2">
                  <c:v>Mon</c:v>
                </c:pt>
                <c:pt idx="3">
                  <c:v>Wed</c:v>
                </c:pt>
                <c:pt idx="4">
                  <c:v>Fri</c:v>
                </c:pt>
                <c:pt idx="5">
                  <c:v>Sat</c:v>
                </c:pt>
                <c:pt idx="6">
                  <c:v>Sun</c:v>
                </c:pt>
              </c:strCache>
            </c:strRef>
          </c:cat>
          <c:val>
            <c:numRef>
              <c:f>'Day with High sale'!$B$4:$B$11</c:f>
              <c:numCache>
                <c:formatCode>[$$-45C]#,##0.00</c:formatCode>
                <c:ptCount val="7"/>
                <c:pt idx="0">
                  <c:v>511</c:v>
                </c:pt>
                <c:pt idx="1">
                  <c:v>548</c:v>
                </c:pt>
                <c:pt idx="2">
                  <c:v>789</c:v>
                </c:pt>
                <c:pt idx="3">
                  <c:v>1089</c:v>
                </c:pt>
                <c:pt idx="4">
                  <c:v>1100</c:v>
                </c:pt>
                <c:pt idx="5">
                  <c:v>1240</c:v>
                </c:pt>
                <c:pt idx="6">
                  <c:v>1613</c:v>
                </c:pt>
              </c:numCache>
            </c:numRef>
          </c:val>
          <c:extLst>
            <c:ext xmlns:c16="http://schemas.microsoft.com/office/drawing/2014/chart" uri="{C3380CC4-5D6E-409C-BE32-E72D297353CC}">
              <c16:uniqueId val="{0000000C-1F75-4398-BF9B-E1B4934747A4}"/>
            </c:ext>
          </c:extLst>
        </c:ser>
        <c:dLbls>
          <c:dLblPos val="outEnd"/>
          <c:showLegendKey val="0"/>
          <c:showVal val="1"/>
          <c:showCatName val="0"/>
          <c:showSerName val="0"/>
          <c:showPercent val="0"/>
          <c:showBubbleSize val="0"/>
        </c:dLbls>
        <c:gapWidth val="20"/>
        <c:axId val="633200415"/>
        <c:axId val="633208319"/>
      </c:barChart>
      <c:catAx>
        <c:axId val="63320041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tx1"/>
                </a:solidFill>
                <a:latin typeface="Georgia" panose="02040502050405020303" pitchFamily="18" charset="0"/>
                <a:ea typeface="+mn-ea"/>
                <a:cs typeface="+mn-cs"/>
              </a:defRPr>
            </a:pPr>
            <a:endParaRPr lang="en-NG"/>
          </a:p>
        </c:txPr>
        <c:crossAx val="633208319"/>
        <c:crosses val="autoZero"/>
        <c:auto val="1"/>
        <c:lblAlgn val="ctr"/>
        <c:lblOffset val="100"/>
        <c:noMultiLvlLbl val="0"/>
      </c:catAx>
      <c:valAx>
        <c:axId val="633208319"/>
        <c:scaling>
          <c:orientation val="minMax"/>
        </c:scaling>
        <c:delete val="1"/>
        <c:axPos val="b"/>
        <c:majorGridlines>
          <c:spPr>
            <a:ln w="9525" cap="flat" cmpd="sng" algn="ctr">
              <a:solidFill>
                <a:schemeClr val="bg1">
                  <a:lumMod val="95000"/>
                </a:schemeClr>
              </a:solidFill>
              <a:round/>
            </a:ln>
            <a:effectLst/>
          </c:spPr>
        </c:majorGridlines>
        <c:numFmt formatCode="[$$-45C]#,##0.00" sourceLinked="1"/>
        <c:majorTickMark val="none"/>
        <c:minorTickMark val="none"/>
        <c:tickLblPos val="nextTo"/>
        <c:crossAx val="633200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19B1.xlsx]Mode of payment!PivotTable6</c:name>
    <c:fmtId val="3"/>
  </c:pivotSource>
  <c:chart>
    <c:autoTitleDeleted val="1"/>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2">
              <a:lumMod val="60000"/>
              <a:lumOff val="40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40000"/>
              <a:lumOff val="60000"/>
            </a:schemeClr>
          </a:solidFill>
          <a:ln>
            <a:noFill/>
          </a:ln>
          <a:effectLst/>
        </c:spPr>
      </c:pivotFmt>
      <c:pivotFmt>
        <c:idx val="5"/>
        <c:spPr>
          <a:solidFill>
            <a:schemeClr val="accent2">
              <a:lumMod val="40000"/>
              <a:lumOff val="60000"/>
            </a:schemeClr>
          </a:solidFill>
          <a:ln>
            <a:noFill/>
          </a:ln>
          <a:effectLst/>
        </c:spPr>
      </c:pivotFmt>
      <c:pivotFmt>
        <c:idx val="6"/>
        <c:spPr>
          <a:solidFill>
            <a:schemeClr val="accent2">
              <a:lumMod val="20000"/>
              <a:lumOff val="80000"/>
            </a:schemeClr>
          </a:solidFill>
          <a:ln>
            <a:noFill/>
          </a:ln>
          <a:effectLst/>
        </c:spPr>
      </c:pivotFmt>
      <c:pivotFmt>
        <c:idx val="7"/>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75000"/>
            </a:schemeClr>
          </a:solidFill>
          <a:ln>
            <a:noFill/>
          </a:ln>
          <a:effectLst/>
        </c:spPr>
      </c:pivotFmt>
      <c:pivotFmt>
        <c:idx val="9"/>
        <c:spPr>
          <a:solidFill>
            <a:schemeClr val="accent2">
              <a:lumMod val="60000"/>
              <a:lumOff val="40000"/>
            </a:schemeClr>
          </a:solidFill>
          <a:ln>
            <a:noFill/>
          </a:ln>
          <a:effectLst/>
        </c:spPr>
      </c:pivotFmt>
      <c:pivotFmt>
        <c:idx val="10"/>
        <c:spPr>
          <a:solidFill>
            <a:schemeClr val="accent2">
              <a:lumMod val="60000"/>
              <a:lumOff val="40000"/>
            </a:schemeClr>
          </a:solidFill>
          <a:ln>
            <a:noFill/>
          </a:ln>
          <a:effectLst/>
        </c:spPr>
      </c:pivotFmt>
      <c:pivotFmt>
        <c:idx val="11"/>
        <c:spPr>
          <a:solidFill>
            <a:schemeClr val="accent2">
              <a:lumMod val="40000"/>
              <a:lumOff val="60000"/>
            </a:schemeClr>
          </a:solidFill>
          <a:ln>
            <a:noFill/>
          </a:ln>
          <a:effectLst/>
        </c:spPr>
      </c:pivotFmt>
      <c:pivotFmt>
        <c:idx val="12"/>
        <c:spPr>
          <a:solidFill>
            <a:schemeClr val="accent2">
              <a:lumMod val="40000"/>
              <a:lumOff val="60000"/>
            </a:schemeClr>
          </a:solidFill>
          <a:ln>
            <a:noFill/>
          </a:ln>
          <a:effectLst/>
        </c:spPr>
      </c:pivotFmt>
      <c:pivotFmt>
        <c:idx val="13"/>
        <c:spPr>
          <a:solidFill>
            <a:schemeClr val="accent2">
              <a:lumMod val="20000"/>
              <a:lumOff val="80000"/>
            </a:schemeClr>
          </a:solidFill>
          <a:ln>
            <a:noFill/>
          </a:ln>
          <a:effectLst/>
        </c:spPr>
      </c:pivotFmt>
      <c:pivotFmt>
        <c:idx val="14"/>
        <c:spPr>
          <a:solidFill>
            <a:schemeClr val="accent2">
              <a:lumMod val="60000"/>
              <a:lumOff val="40000"/>
            </a:schemeClr>
          </a:solidFill>
          <a:ln>
            <a:noFill/>
          </a:ln>
          <a:effectLst/>
        </c:spPr>
      </c:pivotFmt>
      <c:pivotFmt>
        <c:idx val="15"/>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lumMod val="60000"/>
              <a:lumOff val="40000"/>
            </a:schemeClr>
          </a:solidFill>
          <a:ln>
            <a:noFill/>
          </a:ln>
          <a:effectLst/>
        </c:spPr>
      </c:pivotFmt>
      <c:pivotFmt>
        <c:idx val="17"/>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B08C7E"/>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4436124711081492"/>
                  <c:h val="0.28759911765010476"/>
                </c:manualLayout>
              </c15:layout>
            </c:ext>
          </c:extLst>
        </c:dLbl>
      </c:pivotFmt>
      <c:pivotFmt>
        <c:idx val="19"/>
        <c:spPr>
          <a:solidFill>
            <a:srgbClr val="6A4A3A"/>
          </a:solidFill>
          <a:ln>
            <a:noFill/>
          </a:ln>
          <a:effectLst/>
        </c:spPr>
        <c:dLbl>
          <c:idx val="0"/>
          <c:layout>
            <c:manualLayout>
              <c:x val="-0.19466797720686685"/>
              <c:y val="2.192066445503844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187118429138862"/>
                  <c:h val="0.28759911765010476"/>
                </c:manualLayout>
              </c15:layout>
            </c:ext>
          </c:extLst>
        </c:dLbl>
      </c:pivotFmt>
    </c:pivotFmts>
    <c:plotArea>
      <c:layout/>
      <c:barChart>
        <c:barDir val="bar"/>
        <c:grouping val="clustered"/>
        <c:varyColors val="0"/>
        <c:ser>
          <c:idx val="0"/>
          <c:order val="0"/>
          <c:tx>
            <c:strRef>
              <c:f>'Mode of payment'!$B$3</c:f>
              <c:strCache>
                <c:ptCount val="1"/>
                <c:pt idx="0">
                  <c:v>Total</c:v>
                </c:pt>
              </c:strCache>
            </c:strRef>
          </c:tx>
          <c:spPr>
            <a:solidFill>
              <a:schemeClr val="accent2">
                <a:lumMod val="50000"/>
              </a:schemeClr>
            </a:solidFill>
            <a:ln>
              <a:noFill/>
            </a:ln>
            <a:effectLst/>
          </c:spPr>
          <c:invertIfNegative val="0"/>
          <c:dPt>
            <c:idx val="0"/>
            <c:invertIfNegative val="0"/>
            <c:bubble3D val="0"/>
            <c:spPr>
              <a:solidFill>
                <a:srgbClr val="B08C7E"/>
              </a:solidFill>
              <a:ln>
                <a:noFill/>
              </a:ln>
              <a:effectLst/>
            </c:spPr>
            <c:extLst>
              <c:ext xmlns:c16="http://schemas.microsoft.com/office/drawing/2014/chart" uri="{C3380CC4-5D6E-409C-BE32-E72D297353CC}">
                <c16:uniqueId val="{00000001-EFB6-40B6-9D05-0574CEF90D43}"/>
              </c:ext>
            </c:extLst>
          </c:dPt>
          <c:dPt>
            <c:idx val="1"/>
            <c:invertIfNegative val="0"/>
            <c:bubble3D val="0"/>
            <c:spPr>
              <a:solidFill>
                <a:srgbClr val="6A4A3A"/>
              </a:solidFill>
              <a:ln>
                <a:noFill/>
              </a:ln>
              <a:effectLst/>
            </c:spPr>
            <c:extLst>
              <c:ext xmlns:c16="http://schemas.microsoft.com/office/drawing/2014/chart" uri="{C3380CC4-5D6E-409C-BE32-E72D297353CC}">
                <c16:uniqueId val="{00000001-4DB6-4A36-BB78-F6DAFE375084}"/>
              </c:ext>
            </c:extLst>
          </c:dPt>
          <c:dPt>
            <c:idx val="2"/>
            <c:invertIfNegative val="0"/>
            <c:bubble3D val="0"/>
            <c:extLst>
              <c:ext xmlns:c16="http://schemas.microsoft.com/office/drawing/2014/chart" uri="{C3380CC4-5D6E-409C-BE32-E72D297353CC}">
                <c16:uniqueId val="{00000002-4DB6-4A36-BB78-F6DAFE375084}"/>
              </c:ext>
            </c:extLst>
          </c:dPt>
          <c:dPt>
            <c:idx val="3"/>
            <c:invertIfNegative val="0"/>
            <c:bubble3D val="0"/>
            <c:extLst>
              <c:ext xmlns:c16="http://schemas.microsoft.com/office/drawing/2014/chart" uri="{C3380CC4-5D6E-409C-BE32-E72D297353CC}">
                <c16:uniqueId val="{00000003-4DB6-4A36-BB78-F6DAFE375084}"/>
              </c:ext>
            </c:extLst>
          </c:dPt>
          <c:dPt>
            <c:idx val="4"/>
            <c:invertIfNegative val="0"/>
            <c:bubble3D val="0"/>
            <c:extLst>
              <c:ext xmlns:c16="http://schemas.microsoft.com/office/drawing/2014/chart" uri="{C3380CC4-5D6E-409C-BE32-E72D297353CC}">
                <c16:uniqueId val="{00000004-4DB6-4A36-BB78-F6DAFE375084}"/>
              </c:ext>
            </c:extLst>
          </c:dPt>
          <c:dPt>
            <c:idx val="5"/>
            <c:invertIfNegative val="0"/>
            <c:bubble3D val="0"/>
            <c:extLst>
              <c:ext xmlns:c16="http://schemas.microsoft.com/office/drawing/2014/chart" uri="{C3380CC4-5D6E-409C-BE32-E72D297353CC}">
                <c16:uniqueId val="{00000005-4DB6-4A36-BB78-F6DAFE375084}"/>
              </c:ext>
            </c:extLst>
          </c:dPt>
          <c:dPt>
            <c:idx val="6"/>
            <c:invertIfNegative val="0"/>
            <c:bubble3D val="0"/>
            <c:extLst>
              <c:ext xmlns:c16="http://schemas.microsoft.com/office/drawing/2014/chart" uri="{C3380CC4-5D6E-409C-BE32-E72D297353CC}">
                <c16:uniqueId val="{00000006-4DB6-4A36-BB78-F6DAFE375084}"/>
              </c:ext>
            </c:extLst>
          </c:dPt>
          <c:dLbls>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4436124711081492"/>
                      <c:h val="0.28759911765010476"/>
                    </c:manualLayout>
                  </c15:layout>
                </c:ext>
                <c:ext xmlns:c16="http://schemas.microsoft.com/office/drawing/2014/chart" uri="{C3380CC4-5D6E-409C-BE32-E72D297353CC}">
                  <c16:uniqueId val="{00000001-EFB6-40B6-9D05-0574CEF90D43}"/>
                </c:ext>
              </c:extLst>
            </c:dLbl>
            <c:dLbl>
              <c:idx val="1"/>
              <c:layout>
                <c:manualLayout>
                  <c:x val="-0.19466797720686685"/>
                  <c:y val="2.192066445503844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187118429138862"/>
                      <c:h val="0.28759911765010476"/>
                    </c:manualLayout>
                  </c15:layout>
                </c:ext>
                <c:ext xmlns:c16="http://schemas.microsoft.com/office/drawing/2014/chart" uri="{C3380CC4-5D6E-409C-BE32-E72D297353CC}">
                  <c16:uniqueId val="{00000001-4DB6-4A36-BB78-F6DAFE375084}"/>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 of payment'!$A$4:$A$6</c:f>
              <c:strCache>
                <c:ptCount val="2"/>
                <c:pt idx="0">
                  <c:v>cash</c:v>
                </c:pt>
                <c:pt idx="1">
                  <c:v>card</c:v>
                </c:pt>
              </c:strCache>
            </c:strRef>
          </c:cat>
          <c:val>
            <c:numRef>
              <c:f>'Mode of payment'!$B$4:$B$6</c:f>
              <c:numCache>
                <c:formatCode>[$$-45C]#,##0.00</c:formatCode>
                <c:ptCount val="2"/>
                <c:pt idx="0">
                  <c:v>2021</c:v>
                </c:pt>
                <c:pt idx="1">
                  <c:v>4869</c:v>
                </c:pt>
              </c:numCache>
            </c:numRef>
          </c:val>
          <c:extLst>
            <c:ext xmlns:c16="http://schemas.microsoft.com/office/drawing/2014/chart" uri="{C3380CC4-5D6E-409C-BE32-E72D297353CC}">
              <c16:uniqueId val="{00000007-4DB6-4A36-BB78-F6DAFE375084}"/>
            </c:ext>
          </c:extLst>
        </c:ser>
        <c:dLbls>
          <c:dLblPos val="outEnd"/>
          <c:showLegendKey val="0"/>
          <c:showVal val="1"/>
          <c:showCatName val="0"/>
          <c:showSerName val="0"/>
          <c:showPercent val="0"/>
          <c:showBubbleSize val="0"/>
        </c:dLbls>
        <c:gapWidth val="20"/>
        <c:axId val="633200415"/>
        <c:axId val="633208319"/>
      </c:barChart>
      <c:catAx>
        <c:axId val="63320041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tx1"/>
                </a:solidFill>
                <a:latin typeface="Georgia" panose="02040502050405020303" pitchFamily="18" charset="0"/>
                <a:ea typeface="+mn-ea"/>
                <a:cs typeface="+mn-cs"/>
              </a:defRPr>
            </a:pPr>
            <a:endParaRPr lang="en-NG"/>
          </a:p>
        </c:txPr>
        <c:crossAx val="633208319"/>
        <c:crosses val="autoZero"/>
        <c:auto val="1"/>
        <c:lblAlgn val="ctr"/>
        <c:lblOffset val="100"/>
        <c:noMultiLvlLbl val="0"/>
      </c:catAx>
      <c:valAx>
        <c:axId val="633208319"/>
        <c:scaling>
          <c:orientation val="minMax"/>
        </c:scaling>
        <c:delete val="1"/>
        <c:axPos val="b"/>
        <c:majorGridlines>
          <c:spPr>
            <a:ln w="9525" cap="flat" cmpd="sng" algn="ctr">
              <a:solidFill>
                <a:schemeClr val="bg1">
                  <a:lumMod val="95000"/>
                </a:schemeClr>
              </a:solidFill>
              <a:round/>
            </a:ln>
            <a:effectLst/>
          </c:spPr>
        </c:majorGridlines>
        <c:numFmt formatCode="[$$-45C]#,##0.00" sourceLinked="1"/>
        <c:majorTickMark val="none"/>
        <c:minorTickMark val="none"/>
        <c:tickLblPos val="nextTo"/>
        <c:crossAx val="633200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Quantity Sold per Month</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Georgia" panose="02040502050405020303" pitchFamily="18" charset="0"/>
            </a:rPr>
            <a:t>Quantity Sold per Month</a:t>
          </a:r>
        </a:p>
      </cx:txPr>
    </cx:title>
    <cx:plotArea>
      <cx:plotAreaRegion>
        <cx:series layoutId="treemap" uniqueId="{EA3409F0-F118-44CE-93B8-E7FF9B388632}">
          <cx:tx>
            <cx:txData>
              <cx:f>_xlchart.v1.2</cx:f>
              <cx:v>Quantity sold</cx:v>
            </cx:txData>
          </cx:tx>
          <cx:dataPt idx="0">
            <cx:spPr>
              <a:solidFill>
                <a:srgbClr val="ED7D31">
                  <a:lumMod val="50000"/>
                </a:srgbClr>
              </a:solidFill>
            </cx:spPr>
          </cx:dataPt>
          <cx:dataPt idx="1">
            <cx:spPr>
              <a:solidFill>
                <a:srgbClr val="ED7D31">
                  <a:lumMod val="60000"/>
                  <a:lumOff val="40000"/>
                </a:srgbClr>
              </a:solidFill>
            </cx:spPr>
          </cx:dataPt>
          <cx:dataLabels>
            <cx:visibility seriesName="0" categoryName="0" value="1"/>
            <cx:separator>, </cx:separator>
          </cx:dataLabels>
          <cx:dataId val="0"/>
          <cx:layoutPr>
            <cx:parentLabelLayout val="overlapping"/>
          </cx:layoutPr>
        </cx:series>
      </cx:plotAreaRegion>
    </cx:plotArea>
    <cx:legend pos="r" align="ctr" overlay="0">
      <cx:txPr>
        <a:bodyPr spcFirstLastPara="1" vertOverflow="ellipsis" horzOverflow="overflow" wrap="square" lIns="0" tIns="0" rIns="0" bIns="0" anchor="ctr" anchorCtr="1"/>
        <a:lstStyle/>
        <a:p>
          <a:pPr algn="ctr" rtl="0">
            <a:defRPr sz="800">
              <a:latin typeface="Georgia" panose="02040502050405020303" pitchFamily="18" charset="0"/>
              <a:ea typeface="Georgia" panose="02040502050405020303" pitchFamily="18" charset="0"/>
              <a:cs typeface="Georgia" panose="02040502050405020303" pitchFamily="18" charset="0"/>
            </a:defRPr>
          </a:pPr>
          <a:endParaRPr lang="en-US" sz="800" b="0" i="0" u="none" strike="noStrike" baseline="0">
            <a:solidFill>
              <a:sysClr val="windowText" lastClr="000000">
                <a:lumMod val="65000"/>
                <a:lumOff val="35000"/>
              </a:sysClr>
            </a:solidFill>
            <a:latin typeface="Georgia" panose="02040502050405020303" pitchFamily="18" charset="0"/>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rich>
          <a:bodyPr spcFirstLastPara="1" vertOverflow="ellipsis" horzOverflow="overflow" wrap="square" lIns="0" tIns="0" rIns="0" bIns="0" anchor="ctr" anchorCtr="1"/>
          <a:lstStyle/>
          <a:p>
            <a:pPr rtl="0"/>
            <a:r>
              <a:rPr lang="en-US" sz="1400" b="0" i="0" baseline="0">
                <a:effectLst/>
                <a:latin typeface="Georgia" panose="02040502050405020303" pitchFamily="18" charset="0"/>
              </a:rPr>
              <a:t>Top 6 Sold Coffee Type by Quantity</a:t>
            </a:r>
            <a:endParaRPr lang="en-NG" sz="1400">
              <a:effectLst/>
              <a:latin typeface="Georgia" panose="02040502050405020303" pitchFamily="18" charset="0"/>
            </a:endParaRPr>
          </a:p>
        </cx:rich>
      </cx:tx>
    </cx:title>
    <cx:plotArea>
      <cx:plotAreaRegion>
        <cx:series layoutId="funnel" uniqueId="{A824E175-0F1E-4599-A993-76EF5EFA76AE}">
          <cx:tx>
            <cx:txData>
              <cx:f>_xlchart.v2.4</cx:f>
              <cx:v>Quantity</cx:v>
            </cx:txData>
          </cx:tx>
          <cx:spPr>
            <a:ln>
              <a:noFill/>
            </a:ln>
          </cx:spPr>
          <cx:dataPt idx="0">
            <cx:spPr>
              <a:solidFill>
                <a:srgbClr val="ED7D31">
                  <a:lumMod val="50000"/>
                </a:srgbClr>
              </a:solidFill>
            </cx:spPr>
          </cx:dataPt>
          <cx:dataPt idx="1">
            <cx:spPr>
              <a:solidFill>
                <a:srgbClr val="ED7D31">
                  <a:lumMod val="50000"/>
                </a:srgbClr>
              </a:solidFill>
            </cx:spPr>
          </cx:dataPt>
          <cx:dataPt idx="2">
            <cx:spPr>
              <a:solidFill>
                <a:srgbClr val="ED7D31">
                  <a:lumMod val="75000"/>
                </a:srgbClr>
              </a:solidFill>
            </cx:spPr>
          </cx:dataPt>
          <cx:dataPt idx="3">
            <cx:spPr>
              <a:solidFill>
                <a:srgbClr val="ED7D31">
                  <a:lumMod val="60000"/>
                  <a:lumOff val="40000"/>
                </a:srgbClr>
              </a:solidFill>
            </cx:spPr>
          </cx:dataPt>
          <cx:dataPt idx="4">
            <cx:spPr>
              <a:solidFill>
                <a:srgbClr val="ED7D31">
                  <a:lumMod val="60000"/>
                  <a:lumOff val="40000"/>
                </a:srgbClr>
              </a:solidFill>
            </cx:spPr>
          </cx:dataPt>
          <cx:dataPt idx="5">
            <cx:spPr>
              <a:solidFill>
                <a:srgbClr val="ED7D31">
                  <a:lumMod val="40000"/>
                  <a:lumOff val="60000"/>
                </a:srgbClr>
              </a:solidFill>
            </cx:spPr>
          </cx:dataPt>
          <cx:dataPt idx="6">
            <cx:spPr>
              <a:solidFill>
                <a:srgbClr val="ED7D31">
                  <a:lumMod val="20000"/>
                  <a:lumOff val="80000"/>
                </a:srgbClr>
              </a:solidFill>
            </cx:spPr>
          </cx:dataPt>
          <cx:dataLabels>
            <cx:txPr>
              <a:bodyPr spcFirstLastPara="1" vertOverflow="ellipsis" horzOverflow="overflow" wrap="square" lIns="0" tIns="0" rIns="0" bIns="0" anchor="ctr" anchorCtr="1"/>
              <a:lstStyle/>
              <a:p>
                <a:pPr algn="ctr" rtl="0">
                  <a:defRPr>
                    <a:solidFill>
                      <a:schemeClr val="bg1"/>
                    </a:solidFill>
                    <a:latin typeface="Georgia" panose="02040502050405020303" pitchFamily="18" charset="0"/>
                    <a:ea typeface="Georgia" panose="02040502050405020303" pitchFamily="18" charset="0"/>
                    <a:cs typeface="Georgia" panose="02040502050405020303" pitchFamily="18" charset="0"/>
                  </a:defRPr>
                </a:pPr>
                <a:endParaRPr lang="en-US" sz="900" b="0" i="0" u="none" strike="noStrike" baseline="0">
                  <a:solidFill>
                    <a:schemeClr val="bg1"/>
                  </a:solidFill>
                  <a:latin typeface="Georgia" panose="02040502050405020303" pitchFamily="18"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latin typeface="Georgia" panose="02040502050405020303" pitchFamily="18" charset="0"/>
                <a:ea typeface="Georgia" panose="02040502050405020303" pitchFamily="18" charset="0"/>
                <a:cs typeface="Georgia" panose="02040502050405020303" pitchFamily="18" charset="0"/>
              </a:defRPr>
            </a:pPr>
            <a:endParaRPr lang="en-US" sz="900" b="0" i="0" u="none" strike="noStrike" baseline="0">
              <a:solidFill>
                <a:sysClr val="windowText" lastClr="000000">
                  <a:lumMod val="65000"/>
                  <a:lumOff val="35000"/>
                </a:sysClr>
              </a:solidFill>
              <a:latin typeface="Georgia" panose="02040502050405020303" pitchFamily="18" charset="0"/>
            </a:endParaRPr>
          </a:p>
        </cx:txPr>
      </cx:axis>
    </cx:plotArea>
  </cx:chart>
  <cx:spPr>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_xlchart.v1.10</cx:f>
      </cx:numDim>
    </cx:data>
  </cx:chartData>
  <cx:chart>
    <cx:plotArea>
      <cx:plotAreaRegion>
        <cx:series layoutId="treemap" uniqueId="{EA3409F0-F118-44CE-93B8-E7FF9B388632}">
          <cx:tx>
            <cx:txData>
              <cx:f>_xlchart.v1.11</cx:f>
              <cx:v>Quantity sold</cx:v>
            </cx:txData>
          </cx:tx>
          <cx:spPr>
            <a:ln>
              <a:noFill/>
            </a:ln>
          </cx:spPr>
          <cx:dataPt idx="0">
            <cx:spPr>
              <a:solidFill>
                <a:srgbClr val="6A4A3A"/>
              </a:solidFill>
            </cx:spPr>
          </cx:dataPt>
          <cx:dataPt idx="1">
            <cx:spPr>
              <a:solidFill>
                <a:srgbClr val="B08C7E"/>
              </a:solidFill>
            </cx:spPr>
          </cx:dataPt>
          <cx:dataLabels>
            <cx:txPr>
              <a:bodyPr spcFirstLastPara="1" vertOverflow="ellipsis" horzOverflow="overflow" wrap="square" lIns="0" tIns="0" rIns="0" bIns="0" anchor="ctr" anchorCtr="1"/>
              <a:lstStyle/>
              <a:p>
                <a:pPr algn="ctr" rtl="0">
                  <a:defRPr sz="1600" b="0">
                    <a:latin typeface="Georgia" panose="02040502050405020303" pitchFamily="18" charset="0"/>
                    <a:ea typeface="Georgia" panose="02040502050405020303" pitchFamily="18" charset="0"/>
                    <a:cs typeface="Georgia" panose="02040502050405020303" pitchFamily="18" charset="0"/>
                  </a:defRPr>
                </a:pPr>
                <a:endParaRPr lang="en-US" sz="1600" b="0" i="0" u="none" strike="noStrike" baseline="0">
                  <a:solidFill>
                    <a:sysClr val="window" lastClr="FFFFFF"/>
                  </a:solidFill>
                  <a:latin typeface="Georgia" panose="02040502050405020303" pitchFamily="18" charset="0"/>
                </a:endParaRPr>
              </a:p>
            </cx:txPr>
            <cx:visibility seriesName="0" categoryName="0" value="1"/>
            <cx:separator>, </cx:separator>
          </cx:dataLabels>
          <cx:dataId val="0"/>
          <cx:layoutPr>
            <cx:parentLabelLayout val="overlapping"/>
          </cx:layoutPr>
        </cx:series>
      </cx:plotAreaRegion>
    </cx:plotArea>
    <cx:legend pos="r" align="ctr" overlay="0">
      <cx:txPr>
        <a:bodyPr spcFirstLastPara="1" vertOverflow="ellipsis" horzOverflow="overflow" wrap="square" lIns="0" tIns="0" rIns="0" bIns="0" anchor="ctr" anchorCtr="1"/>
        <a:lstStyle/>
        <a:p>
          <a:pPr algn="ctr" rtl="0">
            <a:defRPr sz="1400">
              <a:solidFill>
                <a:schemeClr val="tx1"/>
              </a:solidFill>
              <a:latin typeface="Georgia" panose="02040502050405020303" pitchFamily="18" charset="0"/>
              <a:ea typeface="Georgia" panose="02040502050405020303" pitchFamily="18" charset="0"/>
              <a:cs typeface="Georgia" panose="02040502050405020303" pitchFamily="18" charset="0"/>
            </a:defRPr>
          </a:pPr>
          <a:endParaRPr lang="en-US" sz="1400" b="0" i="0" u="none" strike="noStrike" baseline="0">
            <a:solidFill>
              <a:schemeClr val="tx1"/>
            </a:solidFill>
            <a:latin typeface="Georgia" panose="02040502050405020303" pitchFamily="18" charset="0"/>
          </a:endParaRPr>
        </a:p>
      </cx:txPr>
    </cx:legend>
  </cx:chart>
  <cx:spPr>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series layoutId="funnel" uniqueId="{A824E175-0F1E-4599-A993-76EF5EFA76AE}">
          <cx:tx>
            <cx:txData>
              <cx:f>_xlchart.v2.7</cx:f>
              <cx:v>Quantity</cx:v>
            </cx:txData>
          </cx:tx>
          <cx:spPr>
            <a:ln>
              <a:noFill/>
            </a:ln>
          </cx:spPr>
          <cx:dataPt idx="0">
            <cx:spPr>
              <a:solidFill>
                <a:srgbClr val="6A4A3A"/>
              </a:solidFill>
            </cx:spPr>
          </cx:dataPt>
          <cx:dataPt idx="1">
            <cx:spPr>
              <a:solidFill>
                <a:srgbClr val="6A4A3A"/>
              </a:solidFill>
            </cx:spPr>
          </cx:dataPt>
          <cx:dataPt idx="2">
            <cx:spPr>
              <a:solidFill>
                <a:srgbClr val="967267"/>
              </a:solidFill>
            </cx:spPr>
          </cx:dataPt>
          <cx:dataPt idx="3">
            <cx:spPr>
              <a:solidFill>
                <a:srgbClr val="967267"/>
              </a:solidFill>
            </cx:spPr>
          </cx:dataPt>
          <cx:dataPt idx="4">
            <cx:spPr>
              <a:solidFill>
                <a:srgbClr val="B08C7E"/>
              </a:solidFill>
            </cx:spPr>
          </cx:dataPt>
          <cx:dataPt idx="5">
            <cx:spPr>
              <a:solidFill>
                <a:srgbClr val="B08C7E"/>
              </a:solidFill>
            </cx:spPr>
          </cx:dataPt>
          <cx:dataPt idx="6">
            <cx:spPr>
              <a:solidFill>
                <a:srgbClr val="D2BAB0"/>
              </a:solidFill>
            </cx:spPr>
          </cx:dataPt>
          <cx:dataLabels>
            <cx:txPr>
              <a:bodyPr spcFirstLastPara="1" vertOverflow="ellipsis" horzOverflow="overflow" wrap="square" lIns="0" tIns="0" rIns="0" bIns="0" anchor="ctr" anchorCtr="1"/>
              <a:lstStyle/>
              <a:p>
                <a:pPr algn="ctr" rtl="0">
                  <a:defRPr sz="1400">
                    <a:solidFill>
                      <a:schemeClr val="bg1"/>
                    </a:solidFill>
                    <a:latin typeface="Georgia" panose="02040502050405020303" pitchFamily="18" charset="0"/>
                    <a:ea typeface="Georgia" panose="02040502050405020303" pitchFamily="18" charset="0"/>
                    <a:cs typeface="Georgia" panose="02040502050405020303" pitchFamily="18" charset="0"/>
                  </a:defRPr>
                </a:pPr>
                <a:endParaRPr lang="en-US" sz="1400" b="0" i="0" u="none" strike="noStrike" baseline="0">
                  <a:solidFill>
                    <a:schemeClr val="bg1"/>
                  </a:solidFill>
                  <a:latin typeface="Georgia" panose="02040502050405020303" pitchFamily="18"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400">
                <a:solidFill>
                  <a:schemeClr val="tx1"/>
                </a:solidFill>
                <a:latin typeface="Georgia" panose="02040502050405020303" pitchFamily="18" charset="0"/>
                <a:ea typeface="Georgia" panose="02040502050405020303" pitchFamily="18" charset="0"/>
                <a:cs typeface="Georgia" panose="02040502050405020303" pitchFamily="18" charset="0"/>
              </a:defRPr>
            </a:pPr>
            <a:endParaRPr lang="en-US" sz="1400" b="0" i="0" u="none" strike="noStrike" baseline="0">
              <a:solidFill>
                <a:schemeClr val="tx1"/>
              </a:solidFill>
              <a:latin typeface="Georgia" panose="02040502050405020303" pitchFamily="18" charset="0"/>
            </a:endParaRPr>
          </a:p>
        </cx:txPr>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2.xml.rels><?xml version="1.0" encoding="UTF-8" standalone="yes"?>
<Relationships xmlns="http://schemas.openxmlformats.org/package/2006/relationships"><Relationship Id="rId8" Type="http://schemas.openxmlformats.org/officeDocument/2006/relationships/hyperlink" Target="#'Post Analysis - Recommendation'!A1"/><Relationship Id="rId13" Type="http://schemas.openxmlformats.org/officeDocument/2006/relationships/image" Target="../media/image9.svg"/><Relationship Id="rId18" Type="http://schemas.microsoft.com/office/2014/relationships/chartEx" Target="../charts/chartEx3.xml"/><Relationship Id="rId3" Type="http://schemas.openxmlformats.org/officeDocument/2006/relationships/image" Target="../media/image2.png"/><Relationship Id="rId21" Type="http://schemas.microsoft.com/office/2014/relationships/chartEx" Target="../charts/chartEx4.xml"/><Relationship Id="rId7" Type="http://schemas.openxmlformats.org/officeDocument/2006/relationships/image" Target="../media/image5.svg"/><Relationship Id="rId12" Type="http://schemas.openxmlformats.org/officeDocument/2006/relationships/image" Target="../media/image8.png"/><Relationship Id="rId17" Type="http://schemas.openxmlformats.org/officeDocument/2006/relationships/chart" Target="../charts/chart13.xml"/><Relationship Id="rId2" Type="http://schemas.openxmlformats.org/officeDocument/2006/relationships/hyperlink" Target="#'In Analysis board'!A1"/><Relationship Id="rId16" Type="http://schemas.openxmlformats.org/officeDocument/2006/relationships/chart" Target="../charts/chart12.xml"/><Relationship Id="rId20" Type="http://schemas.openxmlformats.org/officeDocument/2006/relationships/chart" Target="../charts/chart15.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hyperlink" Target="mailto:nnuforole.odinaka@gmail.com?subject=Sales%20dashoard%20for%20coffee%20shop" TargetMode="External"/><Relationship Id="rId5" Type="http://schemas.openxmlformats.org/officeDocument/2006/relationships/hyperlink" Target="#'Post Analysis - Observation'!A1"/><Relationship Id="rId15" Type="http://schemas.openxmlformats.org/officeDocument/2006/relationships/chart" Target="../charts/chart11.xml"/><Relationship Id="rId10" Type="http://schemas.openxmlformats.org/officeDocument/2006/relationships/image" Target="../media/image7.svg"/><Relationship Id="rId19" Type="http://schemas.openxmlformats.org/officeDocument/2006/relationships/chart" Target="../charts/chart14.xml"/><Relationship Id="rId4" Type="http://schemas.openxmlformats.org/officeDocument/2006/relationships/image" Target="../media/image3.svg"/><Relationship Id="rId9" Type="http://schemas.openxmlformats.org/officeDocument/2006/relationships/image" Target="../media/image6.png"/><Relationship Id="rId1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254000</xdr:colOff>
      <xdr:row>2</xdr:row>
      <xdr:rowOff>47625</xdr:rowOff>
    </xdr:from>
    <xdr:to>
      <xdr:col>10</xdr:col>
      <xdr:colOff>558800</xdr:colOff>
      <xdr:row>17</xdr:row>
      <xdr:rowOff>28575</xdr:rowOff>
    </xdr:to>
    <xdr:graphicFrame macro="">
      <xdr:nvGraphicFramePr>
        <xdr:cNvPr id="2" name="Chart 1">
          <a:extLst>
            <a:ext uri="{FF2B5EF4-FFF2-40B4-BE49-F238E27FC236}">
              <a16:creationId xmlns:a16="http://schemas.microsoft.com/office/drawing/2014/main" id="{D805698F-6DA4-4063-ABD6-D628D52C11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254000</xdr:colOff>
      <xdr:row>2</xdr:row>
      <xdr:rowOff>47625</xdr:rowOff>
    </xdr:from>
    <xdr:to>
      <xdr:col>10</xdr:col>
      <xdr:colOff>558800</xdr:colOff>
      <xdr:row>17</xdr:row>
      <xdr:rowOff>28575</xdr:rowOff>
    </xdr:to>
    <xdr:graphicFrame macro="">
      <xdr:nvGraphicFramePr>
        <xdr:cNvPr id="2" name="Chart 1">
          <a:extLst>
            <a:ext uri="{FF2B5EF4-FFF2-40B4-BE49-F238E27FC236}">
              <a16:creationId xmlns:a16="http://schemas.microsoft.com/office/drawing/2014/main" id="{85DC1A69-FD50-4E40-804E-C2FDF59D6F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254000</xdr:colOff>
      <xdr:row>2</xdr:row>
      <xdr:rowOff>47625</xdr:rowOff>
    </xdr:from>
    <xdr:to>
      <xdr:col>10</xdr:col>
      <xdr:colOff>558800</xdr:colOff>
      <xdr:row>17</xdr:row>
      <xdr:rowOff>28575</xdr:rowOff>
    </xdr:to>
    <xdr:graphicFrame macro="">
      <xdr:nvGraphicFramePr>
        <xdr:cNvPr id="2" name="Chart 1">
          <a:extLst>
            <a:ext uri="{FF2B5EF4-FFF2-40B4-BE49-F238E27FC236}">
              <a16:creationId xmlns:a16="http://schemas.microsoft.com/office/drawing/2014/main" id="{2B43AC3B-922E-49FE-A4E9-221CED11E7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6350</xdr:colOff>
      <xdr:row>19</xdr:row>
      <xdr:rowOff>34925</xdr:rowOff>
    </xdr:from>
    <xdr:to>
      <xdr:col>11</xdr:col>
      <xdr:colOff>311150</xdr:colOff>
      <xdr:row>34</xdr:row>
      <xdr:rowOff>15875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EA32BB0E-A098-4D25-967A-141644CF24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479800" y="3533775"/>
              <a:ext cx="4572000" cy="274320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254000</xdr:colOff>
      <xdr:row>2</xdr:row>
      <xdr:rowOff>47625</xdr:rowOff>
    </xdr:from>
    <xdr:to>
      <xdr:col>10</xdr:col>
      <xdr:colOff>558800</xdr:colOff>
      <xdr:row>17</xdr:row>
      <xdr:rowOff>28575</xdr:rowOff>
    </xdr:to>
    <xdr:graphicFrame macro="">
      <xdr:nvGraphicFramePr>
        <xdr:cNvPr id="2" name="Chart 1">
          <a:extLst>
            <a:ext uri="{FF2B5EF4-FFF2-40B4-BE49-F238E27FC236}">
              <a16:creationId xmlns:a16="http://schemas.microsoft.com/office/drawing/2014/main" id="{08416697-8456-4B57-BEF2-A4917B9658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107950</xdr:colOff>
      <xdr:row>1</xdr:row>
      <xdr:rowOff>111125</xdr:rowOff>
    </xdr:from>
    <xdr:to>
      <xdr:col>12</xdr:col>
      <xdr:colOff>412750</xdr:colOff>
      <xdr:row>16</xdr:row>
      <xdr:rowOff>92075</xdr:rowOff>
    </xdr:to>
    <xdr:graphicFrame macro="">
      <xdr:nvGraphicFramePr>
        <xdr:cNvPr id="2" name="Chart 1">
          <a:extLst>
            <a:ext uri="{FF2B5EF4-FFF2-40B4-BE49-F238E27FC236}">
              <a16:creationId xmlns:a16="http://schemas.microsoft.com/office/drawing/2014/main" id="{533F1663-B2F7-47D7-BF72-16313CC205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473075</xdr:colOff>
      <xdr:row>18</xdr:row>
      <xdr:rowOff>15875</xdr:rowOff>
    </xdr:from>
    <xdr:to>
      <xdr:col>15</xdr:col>
      <xdr:colOff>168275</xdr:colOff>
      <xdr:row>32</xdr:row>
      <xdr:rowOff>180975</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FC0232A4-EC12-4E92-BD14-E9C15957E22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451725" y="3330575"/>
              <a:ext cx="4572000" cy="274320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107950</xdr:colOff>
      <xdr:row>1</xdr:row>
      <xdr:rowOff>111125</xdr:rowOff>
    </xdr:from>
    <xdr:to>
      <xdr:col>12</xdr:col>
      <xdr:colOff>412750</xdr:colOff>
      <xdr:row>16</xdr:row>
      <xdr:rowOff>92075</xdr:rowOff>
    </xdr:to>
    <xdr:graphicFrame macro="">
      <xdr:nvGraphicFramePr>
        <xdr:cNvPr id="2" name="Chart 1">
          <a:extLst>
            <a:ext uri="{FF2B5EF4-FFF2-40B4-BE49-F238E27FC236}">
              <a16:creationId xmlns:a16="http://schemas.microsoft.com/office/drawing/2014/main" id="{5277DF3C-11D4-4D17-BF76-FE17C40E95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863600</xdr:colOff>
      <xdr:row>2</xdr:row>
      <xdr:rowOff>47624</xdr:rowOff>
    </xdr:from>
    <xdr:to>
      <xdr:col>7</xdr:col>
      <xdr:colOff>800100</xdr:colOff>
      <xdr:row>18</xdr:row>
      <xdr:rowOff>12699</xdr:rowOff>
    </xdr:to>
    <xdr:graphicFrame macro="">
      <xdr:nvGraphicFramePr>
        <xdr:cNvPr id="4" name="Chart 3">
          <a:extLst>
            <a:ext uri="{FF2B5EF4-FFF2-40B4-BE49-F238E27FC236}">
              <a16:creationId xmlns:a16="http://schemas.microsoft.com/office/drawing/2014/main" id="{DF2E6D0C-3D51-42AB-B0FD-4D5D792CD5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863600</xdr:colOff>
      <xdr:row>2</xdr:row>
      <xdr:rowOff>47625</xdr:rowOff>
    </xdr:from>
    <xdr:to>
      <xdr:col>7</xdr:col>
      <xdr:colOff>514350</xdr:colOff>
      <xdr:row>17</xdr:row>
      <xdr:rowOff>28575</xdr:rowOff>
    </xdr:to>
    <xdr:graphicFrame macro="">
      <xdr:nvGraphicFramePr>
        <xdr:cNvPr id="2" name="Chart 1">
          <a:extLst>
            <a:ext uri="{FF2B5EF4-FFF2-40B4-BE49-F238E27FC236}">
              <a16:creationId xmlns:a16="http://schemas.microsoft.com/office/drawing/2014/main" id="{7FA1DDAA-B21B-4D8B-AB1F-8C8A0ADF46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120650</xdr:colOff>
      <xdr:row>0</xdr:row>
      <xdr:rowOff>114300</xdr:rowOff>
    </xdr:from>
    <xdr:to>
      <xdr:col>7</xdr:col>
      <xdr:colOff>6350</xdr:colOff>
      <xdr:row>14</xdr:row>
      <xdr:rowOff>95250</xdr:rowOff>
    </xdr:to>
    <xdr:sp macro="" textlink="">
      <xdr:nvSpPr>
        <xdr:cNvPr id="2" name="Rectangle: Rounded Corners 1">
          <a:extLst>
            <a:ext uri="{FF2B5EF4-FFF2-40B4-BE49-F238E27FC236}">
              <a16:creationId xmlns:a16="http://schemas.microsoft.com/office/drawing/2014/main" id="{42B364BB-B668-46A3-995D-37FA332634BC}"/>
            </a:ext>
          </a:extLst>
        </xdr:cNvPr>
        <xdr:cNvSpPr/>
      </xdr:nvSpPr>
      <xdr:spPr>
        <a:xfrm>
          <a:off x="120650" y="114300"/>
          <a:ext cx="4152900" cy="2559050"/>
        </a:xfrm>
        <a:prstGeom prst="roundRect">
          <a:avLst>
            <a:gd name="adj" fmla="val 5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900">
              <a:solidFill>
                <a:schemeClr val="accent2">
                  <a:lumMod val="50000"/>
                </a:schemeClr>
              </a:solidFill>
            </a:rPr>
            <a:t>Day with highest</a:t>
          </a:r>
          <a:r>
            <a:rPr lang="en-GB" sz="900" baseline="0">
              <a:solidFill>
                <a:schemeClr val="accent2">
                  <a:lumMod val="50000"/>
                </a:schemeClr>
              </a:solidFill>
            </a:rPr>
            <a:t> sales</a:t>
          </a:r>
          <a:endParaRPr lang="en-GB" sz="900">
            <a:solidFill>
              <a:schemeClr val="accent2">
                <a:lumMod val="50000"/>
              </a:schemeClr>
            </a:solidFill>
          </a:endParaRPr>
        </a:p>
        <a:p>
          <a:pPr algn="l"/>
          <a:r>
            <a:rPr lang="en-GB" sz="900">
              <a:solidFill>
                <a:schemeClr val="accent2">
                  <a:lumMod val="50000"/>
                </a:schemeClr>
              </a:solidFill>
            </a:rPr>
            <a:t>Observation</a:t>
          </a:r>
        </a:p>
        <a:p>
          <a:pPr algn="l"/>
          <a:r>
            <a:rPr lang="en-GB" sz="900">
              <a:solidFill>
                <a:schemeClr val="accent2">
                  <a:lumMod val="50000"/>
                </a:schemeClr>
              </a:solidFill>
            </a:rPr>
            <a:t>- Sundays grossed the highest sales of </a:t>
          </a:r>
          <a:r>
            <a:rPr lang="en-GB" sz="900" b="0" i="0" u="none" strike="noStrike">
              <a:solidFill>
                <a:schemeClr val="accent2">
                  <a:lumMod val="50000"/>
                </a:schemeClr>
              </a:solidFill>
              <a:effectLst/>
              <a:latin typeface="+mn-lt"/>
              <a:ea typeface="+mn-ea"/>
              <a:cs typeface="+mn-cs"/>
            </a:rPr>
            <a:t>$</a:t>
          </a:r>
          <a:r>
            <a:rPr lang="en-NG" sz="900" b="0" i="0" u="none" strike="noStrike">
              <a:solidFill>
                <a:schemeClr val="accent2">
                  <a:lumMod val="50000"/>
                </a:schemeClr>
              </a:solidFill>
              <a:effectLst/>
              <a:latin typeface="+mn-lt"/>
              <a:ea typeface="+mn-ea"/>
              <a:cs typeface="+mn-cs"/>
            </a:rPr>
            <a:t>1,613.00</a:t>
          </a:r>
          <a:r>
            <a:rPr lang="en-NG" sz="900"/>
            <a:t> </a:t>
          </a:r>
          <a:r>
            <a:rPr lang="en-GB" sz="900">
              <a:solidFill>
                <a:schemeClr val="accent2">
                  <a:lumMod val="50000"/>
                </a:schemeClr>
              </a:solidFill>
            </a:rPr>
            <a:t>for these beverages </a:t>
          </a:r>
          <a:endParaRPr lang="en-GB" sz="900" b="0" i="0" u="none" strike="noStrike">
            <a:solidFill>
              <a:schemeClr val="lt1"/>
            </a:solidFill>
            <a:effectLst/>
            <a:latin typeface="+mn-lt"/>
            <a:ea typeface="+mn-ea"/>
            <a:cs typeface="+mn-cs"/>
          </a:endParaRPr>
        </a:p>
        <a:p>
          <a:pPr algn="l"/>
          <a:r>
            <a:rPr lang="en-GB" sz="900" b="0" i="0" u="none" strike="noStrike">
              <a:solidFill>
                <a:schemeClr val="accent2">
                  <a:lumMod val="50000"/>
                </a:schemeClr>
              </a:solidFill>
              <a:effectLst/>
              <a:latin typeface="+mn-lt"/>
              <a:ea typeface="+mn-ea"/>
              <a:cs typeface="+mn-cs"/>
            </a:rPr>
            <a:t>-</a:t>
          </a:r>
          <a:r>
            <a:rPr lang="en-GB" sz="900" b="0" i="0" u="none" strike="noStrike" baseline="0">
              <a:solidFill>
                <a:schemeClr val="accent2">
                  <a:lumMod val="50000"/>
                </a:schemeClr>
              </a:solidFill>
              <a:effectLst/>
              <a:latin typeface="+mn-lt"/>
              <a:ea typeface="+mn-ea"/>
              <a:cs typeface="+mn-cs"/>
            </a:rPr>
            <a:t> They also made more sales  on Saturdays, which is the second highest revenue at $1,240.00</a:t>
          </a:r>
        </a:p>
        <a:p>
          <a:pPr algn="l"/>
          <a:r>
            <a:rPr lang="en-GB" sz="900" b="0" i="0" u="none" strike="noStrike" baseline="0">
              <a:solidFill>
                <a:schemeClr val="accent2">
                  <a:lumMod val="50000"/>
                </a:schemeClr>
              </a:solidFill>
              <a:effectLst/>
              <a:latin typeface="+mn-lt"/>
              <a:ea typeface="+mn-ea"/>
              <a:cs typeface="+mn-cs"/>
            </a:rPr>
            <a:t>- The top 3 days with high revenue were mostly Friday, Saturday and Sunday, which can be classified as weekend sales as customers come around during this period.</a:t>
          </a:r>
        </a:p>
        <a:p>
          <a:pPr algn="l"/>
          <a:r>
            <a:rPr lang="en-GB" sz="900" b="0" i="0" u="none" strike="noStrike" baseline="0">
              <a:solidFill>
                <a:schemeClr val="accent2">
                  <a:lumMod val="50000"/>
                </a:schemeClr>
              </a:solidFill>
              <a:effectLst/>
              <a:latin typeface="+mn-lt"/>
              <a:ea typeface="+mn-ea"/>
              <a:cs typeface="+mn-cs"/>
            </a:rPr>
            <a:t>- Revenue other days as seen are:</a:t>
          </a:r>
        </a:p>
        <a:p>
          <a:pPr algn="l"/>
          <a:r>
            <a:rPr lang="en-GB" sz="900" b="0" i="0" u="none" strike="noStrike">
              <a:solidFill>
                <a:schemeClr val="accent2">
                  <a:lumMod val="50000"/>
                </a:schemeClr>
              </a:solidFill>
              <a:effectLst/>
              <a:latin typeface="+mn-lt"/>
              <a:ea typeface="+mn-ea"/>
              <a:cs typeface="+mn-cs"/>
            </a:rPr>
            <a:t>Fri -</a:t>
          </a:r>
          <a:r>
            <a:rPr lang="en-GB" sz="900">
              <a:solidFill>
                <a:schemeClr val="accent2">
                  <a:lumMod val="50000"/>
                </a:schemeClr>
              </a:solidFill>
            </a:rPr>
            <a:t> </a:t>
          </a:r>
          <a:r>
            <a:rPr lang="en-GB" sz="900" b="0" i="0" u="none" strike="noStrike">
              <a:solidFill>
                <a:schemeClr val="accent2">
                  <a:lumMod val="50000"/>
                </a:schemeClr>
              </a:solidFill>
              <a:effectLst/>
              <a:latin typeface="+mn-lt"/>
              <a:ea typeface="+mn-ea"/>
              <a:cs typeface="+mn-cs"/>
            </a:rPr>
            <a:t>$1,100.00,</a:t>
          </a:r>
          <a:r>
            <a:rPr lang="en-GB" sz="900" b="0" i="0" u="none" strike="noStrike" baseline="0">
              <a:solidFill>
                <a:schemeClr val="accent2">
                  <a:lumMod val="50000"/>
                </a:schemeClr>
              </a:solidFill>
              <a:effectLst/>
              <a:latin typeface="+mn-lt"/>
              <a:ea typeface="+mn-ea"/>
              <a:cs typeface="+mn-cs"/>
            </a:rPr>
            <a:t> </a:t>
          </a:r>
          <a:r>
            <a:rPr lang="en-GB" sz="900" b="0" i="0" u="none" strike="noStrike">
              <a:solidFill>
                <a:schemeClr val="accent2">
                  <a:lumMod val="50000"/>
                </a:schemeClr>
              </a:solidFill>
              <a:effectLst/>
              <a:latin typeface="+mn-lt"/>
              <a:ea typeface="+mn-ea"/>
              <a:cs typeface="+mn-cs"/>
            </a:rPr>
            <a:t>Wed</a:t>
          </a:r>
          <a:r>
            <a:rPr lang="en-GB" sz="900">
              <a:solidFill>
                <a:schemeClr val="accent2">
                  <a:lumMod val="50000"/>
                </a:schemeClr>
              </a:solidFill>
            </a:rPr>
            <a:t> - </a:t>
          </a:r>
          <a:r>
            <a:rPr lang="en-GB" sz="900" b="0" i="0" u="none" strike="noStrike">
              <a:solidFill>
                <a:schemeClr val="accent2">
                  <a:lumMod val="50000"/>
                </a:schemeClr>
              </a:solidFill>
              <a:effectLst/>
              <a:latin typeface="+mn-lt"/>
              <a:ea typeface="+mn-ea"/>
              <a:cs typeface="+mn-cs"/>
            </a:rPr>
            <a:t>$1,089.00,</a:t>
          </a:r>
          <a:r>
            <a:rPr lang="en-GB" sz="900">
              <a:solidFill>
                <a:schemeClr val="accent2">
                  <a:lumMod val="50000"/>
                </a:schemeClr>
              </a:solidFill>
            </a:rPr>
            <a:t> </a:t>
          </a:r>
          <a:r>
            <a:rPr lang="en-GB" sz="900" b="0" i="0" u="none" strike="noStrike">
              <a:solidFill>
                <a:schemeClr val="accent2">
                  <a:lumMod val="50000"/>
                </a:schemeClr>
              </a:solidFill>
              <a:effectLst/>
              <a:latin typeface="+mn-lt"/>
              <a:ea typeface="+mn-ea"/>
              <a:cs typeface="+mn-cs"/>
            </a:rPr>
            <a:t>Mon -</a:t>
          </a:r>
          <a:r>
            <a:rPr lang="en-GB" sz="900">
              <a:solidFill>
                <a:schemeClr val="accent2">
                  <a:lumMod val="50000"/>
                </a:schemeClr>
              </a:solidFill>
            </a:rPr>
            <a:t> </a:t>
          </a:r>
          <a:r>
            <a:rPr lang="en-GB" sz="900" b="0" i="0" u="none" strike="noStrike">
              <a:solidFill>
                <a:schemeClr val="accent2">
                  <a:lumMod val="50000"/>
                </a:schemeClr>
              </a:solidFill>
              <a:effectLst/>
              <a:latin typeface="+mn-lt"/>
              <a:ea typeface="+mn-ea"/>
              <a:cs typeface="+mn-cs"/>
            </a:rPr>
            <a:t>$789.00,</a:t>
          </a:r>
          <a:r>
            <a:rPr lang="en-GB" sz="900">
              <a:solidFill>
                <a:schemeClr val="accent2">
                  <a:lumMod val="50000"/>
                </a:schemeClr>
              </a:solidFill>
            </a:rPr>
            <a:t> </a:t>
          </a:r>
          <a:r>
            <a:rPr lang="en-GB" sz="900" b="0" i="0" u="none" strike="noStrike">
              <a:solidFill>
                <a:schemeClr val="accent2">
                  <a:lumMod val="50000"/>
                </a:schemeClr>
              </a:solidFill>
              <a:effectLst/>
              <a:latin typeface="+mn-lt"/>
              <a:ea typeface="+mn-ea"/>
              <a:cs typeface="+mn-cs"/>
            </a:rPr>
            <a:t>Thu -</a:t>
          </a:r>
          <a:r>
            <a:rPr lang="en-GB" sz="900">
              <a:solidFill>
                <a:schemeClr val="accent2">
                  <a:lumMod val="50000"/>
                </a:schemeClr>
              </a:solidFill>
            </a:rPr>
            <a:t> </a:t>
          </a:r>
          <a:r>
            <a:rPr lang="en-GB" sz="900" b="0" i="0" u="none" strike="noStrike">
              <a:solidFill>
                <a:schemeClr val="accent2">
                  <a:lumMod val="50000"/>
                </a:schemeClr>
              </a:solidFill>
              <a:effectLst/>
              <a:latin typeface="+mn-lt"/>
              <a:ea typeface="+mn-ea"/>
              <a:cs typeface="+mn-cs"/>
            </a:rPr>
            <a:t>$548.00,</a:t>
          </a:r>
          <a:r>
            <a:rPr lang="en-GB" sz="900" b="0" i="0" u="none" strike="noStrike" baseline="0">
              <a:solidFill>
                <a:schemeClr val="accent2">
                  <a:lumMod val="50000"/>
                </a:schemeClr>
              </a:solidFill>
              <a:effectLst/>
              <a:latin typeface="+mn-lt"/>
              <a:ea typeface="+mn-ea"/>
              <a:cs typeface="+mn-cs"/>
            </a:rPr>
            <a:t> </a:t>
          </a:r>
          <a:r>
            <a:rPr lang="en-GB" sz="900" b="0" i="0" u="none" strike="noStrike">
              <a:solidFill>
                <a:schemeClr val="accent2">
                  <a:lumMod val="50000"/>
                </a:schemeClr>
              </a:solidFill>
              <a:effectLst/>
              <a:latin typeface="+mn-lt"/>
              <a:ea typeface="+mn-ea"/>
              <a:cs typeface="+mn-cs"/>
            </a:rPr>
            <a:t>Tue -</a:t>
          </a:r>
          <a:r>
            <a:rPr lang="en-GB" sz="900">
              <a:solidFill>
                <a:schemeClr val="accent2">
                  <a:lumMod val="50000"/>
                </a:schemeClr>
              </a:solidFill>
            </a:rPr>
            <a:t> </a:t>
          </a:r>
          <a:r>
            <a:rPr lang="en-GB" sz="900" b="0" i="0" u="none" strike="noStrike">
              <a:solidFill>
                <a:schemeClr val="accent2">
                  <a:lumMod val="50000"/>
                </a:schemeClr>
              </a:solidFill>
              <a:effectLst/>
              <a:latin typeface="+mn-lt"/>
              <a:ea typeface="+mn-ea"/>
              <a:cs typeface="+mn-cs"/>
            </a:rPr>
            <a:t>$511.00</a:t>
          </a:r>
          <a:r>
            <a:rPr lang="en-GB" sz="900">
              <a:solidFill>
                <a:schemeClr val="accent2">
                  <a:lumMod val="50000"/>
                </a:schemeClr>
              </a:solidFill>
            </a:rPr>
            <a:t> </a:t>
          </a:r>
        </a:p>
        <a:p>
          <a:pPr algn="l"/>
          <a:endParaRPr lang="en-GB" sz="900">
            <a:solidFill>
              <a:schemeClr val="accent2">
                <a:lumMod val="50000"/>
              </a:schemeClr>
            </a:solidFill>
          </a:endParaRPr>
        </a:p>
        <a:p>
          <a:pPr algn="l"/>
          <a:r>
            <a:rPr lang="en-GB" sz="900">
              <a:solidFill>
                <a:schemeClr val="accent2">
                  <a:lumMod val="50000"/>
                </a:schemeClr>
              </a:solidFill>
            </a:rPr>
            <a:t>Pre</a:t>
          </a:r>
          <a:r>
            <a:rPr lang="en-GB" sz="900" baseline="0">
              <a:solidFill>
                <a:schemeClr val="accent2">
                  <a:lumMod val="50000"/>
                </a:schemeClr>
              </a:solidFill>
            </a:rPr>
            <a:t>-insight</a:t>
          </a:r>
        </a:p>
        <a:p>
          <a:pPr algn="l"/>
          <a:r>
            <a:rPr lang="en-GB" sz="900" baseline="0">
              <a:solidFill>
                <a:schemeClr val="accent2">
                  <a:lumMod val="50000"/>
                </a:schemeClr>
              </a:solidFill>
            </a:rPr>
            <a:t>- What are the common cause of increase in sales during the weekends?</a:t>
          </a:r>
        </a:p>
        <a:p>
          <a:pPr algn="l"/>
          <a:r>
            <a:rPr lang="en-GB" sz="900" baseline="0">
              <a:solidFill>
                <a:schemeClr val="accent2">
                  <a:lumMod val="50000"/>
                </a:schemeClr>
              </a:solidFill>
            </a:rPr>
            <a:t>- Midweek stability and slump, possible causes</a:t>
          </a:r>
        </a:p>
        <a:p>
          <a:pPr algn="l"/>
          <a:r>
            <a:rPr lang="en-GB" sz="900" baseline="0">
              <a:solidFill>
                <a:schemeClr val="accent2">
                  <a:lumMod val="50000"/>
                </a:schemeClr>
              </a:solidFill>
            </a:rPr>
            <a:t>- Customer behavior insight</a:t>
          </a:r>
          <a:endParaRPr lang="en-GB" sz="900">
            <a:solidFill>
              <a:schemeClr val="accent2">
                <a:lumMod val="50000"/>
              </a:schemeClr>
            </a:solidFill>
          </a:endParaRPr>
        </a:p>
      </xdr:txBody>
    </xdr:sp>
    <xdr:clientData/>
  </xdr:twoCellAnchor>
  <xdr:twoCellAnchor>
    <xdr:from>
      <xdr:col>7</xdr:col>
      <xdr:colOff>254000</xdr:colOff>
      <xdr:row>15</xdr:row>
      <xdr:rowOff>127000</xdr:rowOff>
    </xdr:from>
    <xdr:to>
      <xdr:col>14</xdr:col>
      <xdr:colOff>63500</xdr:colOff>
      <xdr:row>30</xdr:row>
      <xdr:rowOff>6350</xdr:rowOff>
    </xdr:to>
    <xdr:sp macro="" textlink="">
      <xdr:nvSpPr>
        <xdr:cNvPr id="3" name="Rectangle: Rounded Corners 2">
          <a:extLst>
            <a:ext uri="{FF2B5EF4-FFF2-40B4-BE49-F238E27FC236}">
              <a16:creationId xmlns:a16="http://schemas.microsoft.com/office/drawing/2014/main" id="{035FF7AC-213B-45B3-A07F-71DA31FED059}"/>
            </a:ext>
          </a:extLst>
        </xdr:cNvPr>
        <xdr:cNvSpPr/>
      </xdr:nvSpPr>
      <xdr:spPr>
        <a:xfrm>
          <a:off x="4521200" y="2889250"/>
          <a:ext cx="4076700" cy="2641600"/>
        </a:xfrm>
        <a:prstGeom prst="roundRect">
          <a:avLst>
            <a:gd name="adj" fmla="val 5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900">
              <a:solidFill>
                <a:schemeClr val="accent2">
                  <a:lumMod val="50000"/>
                </a:schemeClr>
              </a:solidFill>
            </a:rPr>
            <a:t>Top</a:t>
          </a:r>
          <a:r>
            <a:rPr lang="en-GB" sz="900" baseline="0">
              <a:solidFill>
                <a:schemeClr val="accent2">
                  <a:lumMod val="50000"/>
                </a:schemeClr>
              </a:solidFill>
            </a:rPr>
            <a:t> 5 coffee by revenue</a:t>
          </a:r>
          <a:endParaRPr lang="en-GB" sz="900">
            <a:solidFill>
              <a:schemeClr val="accent2">
                <a:lumMod val="50000"/>
              </a:schemeClr>
            </a:solidFill>
          </a:endParaRPr>
        </a:p>
        <a:p>
          <a:pPr algn="l"/>
          <a:r>
            <a:rPr lang="en-GB" sz="900" b="0">
              <a:solidFill>
                <a:schemeClr val="accent2">
                  <a:lumMod val="50000"/>
                </a:schemeClr>
              </a:solidFill>
            </a:rPr>
            <a:t>Observation</a:t>
          </a:r>
        </a:p>
        <a:p>
          <a:pPr algn="l"/>
          <a:r>
            <a:rPr lang="en-GB" sz="900" b="0">
              <a:solidFill>
                <a:schemeClr val="accent2">
                  <a:lumMod val="50000"/>
                </a:schemeClr>
              </a:solidFill>
            </a:rPr>
            <a:t>Out of 31 beverages,</a:t>
          </a:r>
          <a:r>
            <a:rPr lang="en-GB" sz="900" b="0" baseline="0">
              <a:solidFill>
                <a:schemeClr val="accent2">
                  <a:lumMod val="50000"/>
                </a:schemeClr>
              </a:solidFill>
            </a:rPr>
            <a:t> t</a:t>
          </a:r>
          <a:r>
            <a:rPr lang="en-GB" sz="900" b="0">
              <a:solidFill>
                <a:schemeClr val="accent2">
                  <a:lumMod val="50000"/>
                </a:schemeClr>
              </a:solidFill>
            </a:rPr>
            <a:t>he top five beverage drinks by revenue accrued are: </a:t>
          </a:r>
        </a:p>
        <a:p>
          <a:pPr algn="l"/>
          <a:r>
            <a:rPr lang="en-GB" sz="900" b="0" i="0" u="none" strike="noStrike">
              <a:solidFill>
                <a:schemeClr val="accent2">
                  <a:lumMod val="50000"/>
                </a:schemeClr>
              </a:solidFill>
              <a:effectLst/>
              <a:latin typeface="+mn-lt"/>
              <a:ea typeface="+mn-ea"/>
              <a:cs typeface="+mn-cs"/>
            </a:rPr>
            <a:t>- Americano with milk</a:t>
          </a:r>
          <a:r>
            <a:rPr lang="en-GB" sz="900">
              <a:solidFill>
                <a:schemeClr val="accent2">
                  <a:lumMod val="50000"/>
                </a:schemeClr>
              </a:solidFill>
            </a:rPr>
            <a:t> - </a:t>
          </a:r>
          <a:r>
            <a:rPr lang="en-GB" sz="900" b="0" i="0" u="none" strike="noStrike">
              <a:solidFill>
                <a:schemeClr val="accent2">
                  <a:lumMod val="50000"/>
                </a:schemeClr>
              </a:solidFill>
              <a:effectLst/>
              <a:latin typeface="+mn-lt"/>
              <a:ea typeface="+mn-ea"/>
              <a:cs typeface="+mn-cs"/>
            </a:rPr>
            <a:t>$1,100.00</a:t>
          </a:r>
          <a:r>
            <a:rPr lang="en-GB" sz="900">
              <a:solidFill>
                <a:schemeClr val="accent2">
                  <a:lumMod val="50000"/>
                </a:schemeClr>
              </a:solidFill>
            </a:rPr>
            <a:t> </a:t>
          </a:r>
        </a:p>
        <a:p>
          <a:pPr algn="l"/>
          <a:r>
            <a:rPr lang="en-GB" sz="900" b="0" i="0" u="none" strike="noStrike">
              <a:solidFill>
                <a:schemeClr val="accent2">
                  <a:lumMod val="50000"/>
                </a:schemeClr>
              </a:solidFill>
              <a:effectLst/>
              <a:latin typeface="+mn-lt"/>
              <a:ea typeface="+mn-ea"/>
              <a:cs typeface="+mn-cs"/>
            </a:rPr>
            <a:t>- Latte</a:t>
          </a:r>
          <a:r>
            <a:rPr lang="en-GB" sz="900">
              <a:solidFill>
                <a:schemeClr val="accent2">
                  <a:lumMod val="50000"/>
                </a:schemeClr>
              </a:solidFill>
            </a:rPr>
            <a:t> - </a:t>
          </a:r>
          <a:r>
            <a:rPr lang="en-GB" sz="900" b="0" i="0" u="none" strike="noStrike">
              <a:solidFill>
                <a:schemeClr val="accent2">
                  <a:lumMod val="50000"/>
                </a:schemeClr>
              </a:solidFill>
              <a:effectLst/>
              <a:latin typeface="+mn-lt"/>
              <a:ea typeface="+mn-ea"/>
              <a:cs typeface="+mn-cs"/>
            </a:rPr>
            <a:t>$792.00</a:t>
          </a:r>
        </a:p>
        <a:p>
          <a:pPr algn="l"/>
          <a:r>
            <a:rPr lang="en-GB" sz="900" b="0" i="0" u="none" strike="noStrike">
              <a:solidFill>
                <a:schemeClr val="accent2">
                  <a:lumMod val="50000"/>
                </a:schemeClr>
              </a:solidFill>
              <a:effectLst/>
              <a:latin typeface="+mn-lt"/>
              <a:ea typeface="+mn-ea"/>
              <a:cs typeface="+mn-cs"/>
            </a:rPr>
            <a:t>-</a:t>
          </a:r>
          <a:r>
            <a:rPr lang="en-GB" sz="900">
              <a:solidFill>
                <a:schemeClr val="accent2">
                  <a:lumMod val="50000"/>
                </a:schemeClr>
              </a:solidFill>
            </a:rPr>
            <a:t> </a:t>
          </a:r>
          <a:r>
            <a:rPr lang="en-GB" sz="900" b="0" i="0" u="none" strike="noStrike">
              <a:solidFill>
                <a:schemeClr val="accent2">
                  <a:lumMod val="50000"/>
                </a:schemeClr>
              </a:solidFill>
              <a:effectLst/>
              <a:latin typeface="+mn-lt"/>
              <a:ea typeface="+mn-ea"/>
              <a:cs typeface="+mn-cs"/>
            </a:rPr>
            <a:t>Irish whiskey -</a:t>
          </a:r>
          <a:r>
            <a:rPr lang="en-GB" sz="900">
              <a:solidFill>
                <a:schemeClr val="accent2">
                  <a:lumMod val="50000"/>
                </a:schemeClr>
              </a:solidFill>
            </a:rPr>
            <a:t> </a:t>
          </a:r>
          <a:r>
            <a:rPr lang="en-GB" sz="900" b="0" i="0" u="none" strike="noStrike">
              <a:solidFill>
                <a:schemeClr val="accent2">
                  <a:lumMod val="50000"/>
                </a:schemeClr>
              </a:solidFill>
              <a:effectLst/>
              <a:latin typeface="+mn-lt"/>
              <a:ea typeface="+mn-ea"/>
              <a:cs typeface="+mn-cs"/>
            </a:rPr>
            <a:t>$525.00</a:t>
          </a:r>
          <a:r>
            <a:rPr lang="en-GB" sz="900">
              <a:solidFill>
                <a:schemeClr val="accent2">
                  <a:lumMod val="50000"/>
                </a:schemeClr>
              </a:solidFill>
            </a:rPr>
            <a:t> </a:t>
          </a:r>
        </a:p>
        <a:p>
          <a:pPr algn="l"/>
          <a:r>
            <a:rPr lang="en-GB" sz="900" b="0" i="0" u="none" strike="noStrike">
              <a:solidFill>
                <a:schemeClr val="accent2">
                  <a:lumMod val="50000"/>
                </a:schemeClr>
              </a:solidFill>
              <a:effectLst/>
              <a:latin typeface="+mn-lt"/>
              <a:ea typeface="+mn-ea"/>
              <a:cs typeface="+mn-cs"/>
            </a:rPr>
            <a:t>- Cappuccino</a:t>
          </a:r>
          <a:r>
            <a:rPr lang="en-GB" sz="900">
              <a:solidFill>
                <a:schemeClr val="accent2">
                  <a:lumMod val="50000"/>
                </a:schemeClr>
              </a:solidFill>
            </a:rPr>
            <a:t> - </a:t>
          </a:r>
          <a:r>
            <a:rPr lang="en-GB" sz="900" b="0" i="0" u="none" strike="noStrike">
              <a:solidFill>
                <a:schemeClr val="accent2">
                  <a:lumMod val="50000"/>
                </a:schemeClr>
              </a:solidFill>
              <a:effectLst/>
              <a:latin typeface="+mn-lt"/>
              <a:ea typeface="+mn-ea"/>
              <a:cs typeface="+mn-cs"/>
            </a:rPr>
            <a:t>$480.00</a:t>
          </a:r>
        </a:p>
        <a:p>
          <a:pPr algn="l"/>
          <a:r>
            <a:rPr lang="en-GB" sz="900" b="0" i="0" u="none" strike="noStrike">
              <a:solidFill>
                <a:schemeClr val="accent2">
                  <a:lumMod val="50000"/>
                </a:schemeClr>
              </a:solidFill>
              <a:effectLst/>
              <a:latin typeface="+mn-lt"/>
              <a:ea typeface="+mn-ea"/>
              <a:cs typeface="+mn-cs"/>
            </a:rPr>
            <a:t>-</a:t>
          </a:r>
          <a:r>
            <a:rPr lang="en-GB" sz="900">
              <a:solidFill>
                <a:schemeClr val="accent2">
                  <a:lumMod val="50000"/>
                </a:schemeClr>
              </a:solidFill>
            </a:rPr>
            <a:t> </a:t>
          </a:r>
          <a:r>
            <a:rPr lang="en-GB" sz="900" b="0" i="0" u="none" strike="noStrike">
              <a:solidFill>
                <a:schemeClr val="accent2">
                  <a:lumMod val="50000"/>
                </a:schemeClr>
              </a:solidFill>
              <a:effectLst/>
              <a:latin typeface="+mn-lt"/>
              <a:ea typeface="+mn-ea"/>
              <a:cs typeface="+mn-cs"/>
            </a:rPr>
            <a:t>Coffee with Irish whiskey</a:t>
          </a:r>
          <a:r>
            <a:rPr lang="en-GB" sz="900">
              <a:solidFill>
                <a:schemeClr val="accent2">
                  <a:lumMod val="50000"/>
                </a:schemeClr>
              </a:solidFill>
            </a:rPr>
            <a:t> - </a:t>
          </a:r>
          <a:r>
            <a:rPr lang="en-GB" sz="900" b="0" i="0" u="none" strike="noStrike">
              <a:solidFill>
                <a:schemeClr val="accent2">
                  <a:lumMod val="50000"/>
                </a:schemeClr>
              </a:solidFill>
              <a:effectLst/>
              <a:latin typeface="+mn-lt"/>
              <a:ea typeface="+mn-ea"/>
              <a:cs typeface="+mn-cs"/>
            </a:rPr>
            <a:t>$464.00</a:t>
          </a:r>
          <a:r>
            <a:rPr lang="en-GB" sz="900">
              <a:solidFill>
                <a:schemeClr val="accent2">
                  <a:lumMod val="50000"/>
                </a:schemeClr>
              </a:solidFill>
            </a:rPr>
            <a:t> </a:t>
          </a:r>
          <a:endParaRPr lang="en-GB" sz="900" b="0">
            <a:solidFill>
              <a:schemeClr val="accent2">
                <a:lumMod val="50000"/>
              </a:schemeClr>
            </a:solidFill>
          </a:endParaRPr>
        </a:p>
        <a:p>
          <a:pPr algn="l"/>
          <a:endParaRPr lang="en-GB" sz="900" b="0">
            <a:solidFill>
              <a:schemeClr val="accent2">
                <a:lumMod val="50000"/>
              </a:schemeClr>
            </a:solidFill>
          </a:endParaRPr>
        </a:p>
        <a:p>
          <a:pPr algn="l"/>
          <a:r>
            <a:rPr lang="en-GB" sz="900" b="0">
              <a:solidFill>
                <a:schemeClr val="accent2">
                  <a:lumMod val="50000"/>
                </a:schemeClr>
              </a:solidFill>
            </a:rPr>
            <a:t>Pre-insight</a:t>
          </a:r>
        </a:p>
        <a:p>
          <a:r>
            <a:rPr lang="en-GB" sz="900" b="0">
              <a:solidFill>
                <a:schemeClr val="accent2">
                  <a:lumMod val="50000"/>
                </a:schemeClr>
              </a:solidFill>
            </a:rPr>
            <a:t>- Customer Segmentation Insight</a:t>
          </a:r>
          <a:r>
            <a:rPr lang="en-GB" sz="900" b="0" baseline="0">
              <a:solidFill>
                <a:schemeClr val="accent2">
                  <a:lumMod val="50000"/>
                </a:schemeClr>
              </a:solidFill>
            </a:rPr>
            <a:t> - </a:t>
          </a:r>
          <a:r>
            <a:rPr lang="en-GB" sz="900" b="0">
              <a:solidFill>
                <a:schemeClr val="accent2">
                  <a:lumMod val="50000"/>
                </a:schemeClr>
              </a:solidFill>
            </a:rPr>
            <a:t>Customers are divided between those who prefer classic coffees (Americano, Latte, Cappuccino) and those who enjoy premium/novelty drinks (Irish whiskey variants).</a:t>
          </a:r>
        </a:p>
        <a:p>
          <a:r>
            <a:rPr lang="en-GB" sz="900" b="0">
              <a:solidFill>
                <a:schemeClr val="accent2">
                  <a:lumMod val="50000"/>
                </a:schemeClr>
              </a:solidFill>
            </a:rPr>
            <a:t>- Growth Potential</a:t>
          </a:r>
          <a:r>
            <a:rPr lang="en-GB" sz="900" b="0" baseline="0">
              <a:solidFill>
                <a:schemeClr val="accent2">
                  <a:lumMod val="50000"/>
                </a:schemeClr>
              </a:solidFill>
            </a:rPr>
            <a:t> - </a:t>
          </a:r>
          <a:r>
            <a:rPr lang="en-GB" sz="900" b="0">
              <a:solidFill>
                <a:schemeClr val="accent2">
                  <a:lumMod val="50000"/>
                </a:schemeClr>
              </a:solidFill>
            </a:rPr>
            <a:t>The popularity of these five drinks provides opportunities to:</a:t>
          </a:r>
        </a:p>
        <a:p>
          <a:pPr lvl="1"/>
          <a:r>
            <a:rPr lang="en-GB" sz="900" b="0">
              <a:solidFill>
                <a:schemeClr val="accent2">
                  <a:lumMod val="50000"/>
                </a:schemeClr>
              </a:solidFill>
            </a:rPr>
            <a:t>Upsell variations (e.g., flavored lattes, seasonal Americanos).</a:t>
          </a:r>
        </a:p>
        <a:p>
          <a:pPr lvl="1"/>
          <a:r>
            <a:rPr lang="en-GB" sz="900" b="0">
              <a:solidFill>
                <a:schemeClr val="accent2">
                  <a:lumMod val="50000"/>
                </a:schemeClr>
              </a:solidFill>
            </a:rPr>
            <a:t>Bundle offers (e.g., “Top Seller Combo” promotions).</a:t>
          </a:r>
        </a:p>
        <a:p>
          <a:pPr algn="l"/>
          <a:endParaRPr lang="en-NG" sz="900" b="0">
            <a:solidFill>
              <a:schemeClr val="accent2">
                <a:lumMod val="50000"/>
              </a:schemeClr>
            </a:solidFill>
          </a:endParaRPr>
        </a:p>
      </xdr:txBody>
    </xdr:sp>
    <xdr:clientData/>
  </xdr:twoCellAnchor>
  <xdr:twoCellAnchor>
    <xdr:from>
      <xdr:col>0</xdr:col>
      <xdr:colOff>120650</xdr:colOff>
      <xdr:row>15</xdr:row>
      <xdr:rowOff>146050</xdr:rowOff>
    </xdr:from>
    <xdr:to>
      <xdr:col>7</xdr:col>
      <xdr:colOff>6350</xdr:colOff>
      <xdr:row>29</xdr:row>
      <xdr:rowOff>127000</xdr:rowOff>
    </xdr:to>
    <xdr:sp macro="" textlink="">
      <xdr:nvSpPr>
        <xdr:cNvPr id="4" name="Rectangle: Rounded Corners 3">
          <a:extLst>
            <a:ext uri="{FF2B5EF4-FFF2-40B4-BE49-F238E27FC236}">
              <a16:creationId xmlns:a16="http://schemas.microsoft.com/office/drawing/2014/main" id="{6B8DE4C0-C0EC-4E9E-BAB7-A7DB5D10A452}"/>
            </a:ext>
          </a:extLst>
        </xdr:cNvPr>
        <xdr:cNvSpPr/>
      </xdr:nvSpPr>
      <xdr:spPr>
        <a:xfrm>
          <a:off x="120650" y="2908300"/>
          <a:ext cx="4152900" cy="2559050"/>
        </a:xfrm>
        <a:prstGeom prst="roundRect">
          <a:avLst>
            <a:gd name="adj" fmla="val 5667"/>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900">
              <a:solidFill>
                <a:schemeClr val="bg1"/>
              </a:solidFill>
            </a:rPr>
            <a:t>Quantity sold per month</a:t>
          </a:r>
        </a:p>
        <a:p>
          <a:pPr algn="l"/>
          <a:r>
            <a:rPr lang="en-GB" sz="900">
              <a:solidFill>
                <a:schemeClr val="bg1"/>
              </a:solidFill>
            </a:rPr>
            <a:t>Observation</a:t>
          </a:r>
        </a:p>
        <a:p>
          <a:pPr algn="l"/>
          <a:r>
            <a:rPr lang="en-GB" sz="900">
              <a:solidFill>
                <a:schemeClr val="bg1"/>
              </a:solidFill>
            </a:rPr>
            <a:t>- This analysis</a:t>
          </a:r>
          <a:r>
            <a:rPr lang="en-GB" sz="900" baseline="0">
              <a:solidFill>
                <a:schemeClr val="bg1"/>
              </a:solidFill>
            </a:rPr>
            <a:t> measures sales of beverages in two months, February and March</a:t>
          </a:r>
        </a:p>
        <a:p>
          <a:pPr algn="l"/>
          <a:r>
            <a:rPr lang="en-GB" sz="900" baseline="0">
              <a:solidFill>
                <a:schemeClr val="bg1"/>
              </a:solidFill>
            </a:rPr>
            <a:t>- In February, quantity of beverage sales was at the highest at 138 units</a:t>
          </a:r>
        </a:p>
        <a:p>
          <a:pPr algn="l"/>
          <a:r>
            <a:rPr lang="en-GB" sz="900" baseline="0">
              <a:solidFill>
                <a:schemeClr val="bg1"/>
              </a:solidFill>
            </a:rPr>
            <a:t>- While in March, quantity sold were 124 units</a:t>
          </a:r>
          <a:endParaRPr lang="en-GB" sz="900">
            <a:solidFill>
              <a:schemeClr val="bg1"/>
            </a:solidFill>
          </a:endParaRPr>
        </a:p>
        <a:p>
          <a:pPr algn="l"/>
          <a:endParaRPr lang="en-GB" sz="900">
            <a:solidFill>
              <a:schemeClr val="bg1"/>
            </a:solidFill>
          </a:endParaRPr>
        </a:p>
        <a:p>
          <a:pPr algn="l"/>
          <a:endParaRPr lang="en-GB" sz="900">
            <a:solidFill>
              <a:schemeClr val="bg1"/>
            </a:solidFill>
          </a:endParaRPr>
        </a:p>
        <a:p>
          <a:pPr algn="l"/>
          <a:r>
            <a:rPr lang="en-GB" sz="900">
              <a:solidFill>
                <a:schemeClr val="bg1"/>
              </a:solidFill>
            </a:rPr>
            <a:t>Pre-insight</a:t>
          </a:r>
        </a:p>
        <a:p>
          <a:r>
            <a:rPr lang="en-GB" sz="900">
              <a:solidFill>
                <a:schemeClr val="bg1"/>
              </a:solidFill>
            </a:rPr>
            <a:t>-</a:t>
          </a:r>
          <a:r>
            <a:rPr lang="en-GB" sz="900" baseline="0">
              <a:solidFill>
                <a:schemeClr val="bg1"/>
              </a:solidFill>
            </a:rPr>
            <a:t> </a:t>
          </a:r>
          <a:r>
            <a:rPr lang="en-GB" sz="900" b="0"/>
            <a:t>Overall Stable Demand</a:t>
          </a:r>
          <a:r>
            <a:rPr lang="en-GB" sz="900" b="0" baseline="0"/>
            <a:t> - </a:t>
          </a:r>
          <a:r>
            <a:rPr lang="en-GB" sz="900" b="0"/>
            <a:t>Beverage sales remained relatively consistent across the two months</a:t>
          </a:r>
          <a:r>
            <a:rPr lang="en-GB" sz="900"/>
            <a:t>.</a:t>
          </a:r>
        </a:p>
        <a:p>
          <a:r>
            <a:rPr lang="en-GB" sz="900"/>
            <a:t>- February recorded the highest sales, possibly influenced by </a:t>
          </a:r>
          <a:r>
            <a:rPr lang="en-GB" sz="900" b="1"/>
            <a:t>seasonal factors</a:t>
          </a:r>
          <a:r>
            <a:rPr lang="en-GB" sz="900"/>
            <a:t> (e.g., Valentine’s Day promotions, social events, or weather conditions)</a:t>
          </a:r>
        </a:p>
        <a:p>
          <a:r>
            <a:rPr lang="en-GB" sz="900"/>
            <a:t>- </a:t>
          </a:r>
          <a:r>
            <a:rPr lang="en-GB" sz="900" b="0"/>
            <a:t>Operational Implication -</a:t>
          </a:r>
          <a:r>
            <a:rPr lang="en-GB" sz="900" b="0" baseline="0"/>
            <a:t> </a:t>
          </a:r>
          <a:r>
            <a:rPr lang="en-GB" sz="900" b="0"/>
            <a:t>Inventory and staffing can be planned around 130 monthly units as a baseline, adjusting slightly upward in months with special events (like February</a:t>
          </a:r>
          <a:r>
            <a:rPr lang="en-GB" sz="900"/>
            <a:t>).</a:t>
          </a:r>
        </a:p>
        <a:p>
          <a:endParaRPr lang="en-GB" sz="900"/>
        </a:p>
        <a:p>
          <a:pPr algn="l"/>
          <a:endParaRPr lang="en-GB" sz="900">
            <a:solidFill>
              <a:schemeClr val="bg1"/>
            </a:solidFill>
          </a:endParaRPr>
        </a:p>
      </xdr:txBody>
    </xdr:sp>
    <xdr:clientData/>
  </xdr:twoCellAnchor>
  <xdr:twoCellAnchor>
    <xdr:from>
      <xdr:col>7</xdr:col>
      <xdr:colOff>279400</xdr:colOff>
      <xdr:row>0</xdr:row>
      <xdr:rowOff>133350</xdr:rowOff>
    </xdr:from>
    <xdr:to>
      <xdr:col>14</xdr:col>
      <xdr:colOff>165100</xdr:colOff>
      <xdr:row>14</xdr:row>
      <xdr:rowOff>114300</xdr:rowOff>
    </xdr:to>
    <xdr:sp macro="" textlink="">
      <xdr:nvSpPr>
        <xdr:cNvPr id="5" name="Rectangle: Rounded Corners 4">
          <a:extLst>
            <a:ext uri="{FF2B5EF4-FFF2-40B4-BE49-F238E27FC236}">
              <a16:creationId xmlns:a16="http://schemas.microsoft.com/office/drawing/2014/main" id="{F6E078FB-770B-4AD6-81C9-75067C3FAC39}"/>
            </a:ext>
          </a:extLst>
        </xdr:cNvPr>
        <xdr:cNvSpPr/>
      </xdr:nvSpPr>
      <xdr:spPr>
        <a:xfrm>
          <a:off x="4546600" y="133350"/>
          <a:ext cx="4152900" cy="2559050"/>
        </a:xfrm>
        <a:prstGeom prst="roundRect">
          <a:avLst>
            <a:gd name="adj" fmla="val 5667"/>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900">
              <a:solidFill>
                <a:schemeClr val="bg1"/>
              </a:solidFill>
            </a:rPr>
            <a:t>Preferred</a:t>
          </a:r>
          <a:r>
            <a:rPr lang="en-GB" sz="900" baseline="0">
              <a:solidFill>
                <a:schemeClr val="bg1"/>
              </a:solidFill>
            </a:rPr>
            <a:t> mode of payment</a:t>
          </a:r>
          <a:endParaRPr lang="en-GB" sz="900">
            <a:solidFill>
              <a:schemeClr val="bg1"/>
            </a:solidFill>
          </a:endParaRPr>
        </a:p>
        <a:p>
          <a:pPr algn="l"/>
          <a:r>
            <a:rPr lang="en-GB" sz="900">
              <a:solidFill>
                <a:schemeClr val="bg1"/>
              </a:solidFill>
            </a:rPr>
            <a:t>Observation</a:t>
          </a:r>
        </a:p>
        <a:p>
          <a:pPr algn="l"/>
          <a:r>
            <a:rPr lang="en-GB" sz="900">
              <a:solidFill>
                <a:schemeClr val="bg1"/>
              </a:solidFill>
            </a:rPr>
            <a:t>- There are</a:t>
          </a:r>
          <a:r>
            <a:rPr lang="en-GB" sz="900" baseline="0">
              <a:solidFill>
                <a:schemeClr val="bg1"/>
              </a:solidFill>
            </a:rPr>
            <a:t> two modes of payment, cash or card</a:t>
          </a:r>
        </a:p>
        <a:p>
          <a:pPr algn="l"/>
          <a:r>
            <a:rPr lang="en-GB" sz="900" baseline="0">
              <a:solidFill>
                <a:schemeClr val="bg1"/>
              </a:solidFill>
            </a:rPr>
            <a:t>- The card payment type had the highest revenue of $4,869.00, this shows that most of its customers preferred to make payment with cards</a:t>
          </a:r>
        </a:p>
        <a:p>
          <a:pPr algn="l"/>
          <a:r>
            <a:rPr lang="en-GB" sz="900" baseline="0">
              <a:solidFill>
                <a:schemeClr val="bg1"/>
              </a:solidFill>
            </a:rPr>
            <a:t>- The revenue accrued from cash payment was $2,021.00</a:t>
          </a:r>
          <a:endParaRPr lang="en-GB" sz="900">
            <a:solidFill>
              <a:schemeClr val="bg1"/>
            </a:solidFill>
          </a:endParaRPr>
        </a:p>
        <a:p>
          <a:pPr algn="l"/>
          <a:endParaRPr lang="en-GB" sz="900">
            <a:solidFill>
              <a:schemeClr val="bg1"/>
            </a:solidFill>
          </a:endParaRPr>
        </a:p>
        <a:p>
          <a:pPr algn="l"/>
          <a:endParaRPr lang="en-GB" sz="900">
            <a:solidFill>
              <a:schemeClr val="bg1"/>
            </a:solidFill>
          </a:endParaRPr>
        </a:p>
        <a:p>
          <a:pPr algn="l"/>
          <a:r>
            <a:rPr lang="en-GB" sz="900">
              <a:solidFill>
                <a:schemeClr val="bg1"/>
              </a:solidFill>
            </a:rPr>
            <a:t>Pre-insight</a:t>
          </a:r>
        </a:p>
        <a:p>
          <a:r>
            <a:rPr lang="en-GB" sz="900">
              <a:solidFill>
                <a:schemeClr val="bg1"/>
              </a:solidFill>
            </a:rPr>
            <a:t>- </a:t>
          </a:r>
          <a:r>
            <a:rPr lang="en-GB" sz="900" b="0"/>
            <a:t>Convenience &amp; Modern Behavior</a:t>
          </a:r>
          <a:r>
            <a:rPr lang="en-GB" sz="900" b="0" baseline="0"/>
            <a:t> - </a:t>
          </a:r>
          <a:r>
            <a:rPr lang="en-GB" sz="900" b="0"/>
            <a:t>The dominance of cards suggests customers value speed, convenience, and digital payment reliability, aligning with global cashless trends.</a:t>
          </a:r>
        </a:p>
        <a:p>
          <a:r>
            <a:rPr lang="en-GB" sz="900" b="0"/>
            <a:t>- Card users might represent younger, urban, or more tech-savvy groups.</a:t>
          </a:r>
        </a:p>
        <a:p>
          <a:r>
            <a:rPr lang="en-GB" sz="900" b="0"/>
            <a:t>- Cash users may represent </a:t>
          </a:r>
          <a:r>
            <a:rPr lang="en-GB" sz="900"/>
            <a:t>walk-in, occasional, or older customers.</a:t>
          </a:r>
        </a:p>
        <a:p>
          <a:r>
            <a:rPr lang="en-GB" sz="900"/>
            <a:t>- </a:t>
          </a:r>
          <a:r>
            <a:rPr lang="en-GB" sz="900" b="0"/>
            <a:t>Revenue Security &amp; Tracking</a:t>
          </a:r>
          <a:r>
            <a:rPr lang="en-GB" sz="900" b="0" baseline="0"/>
            <a:t> - </a:t>
          </a:r>
          <a:r>
            <a:rPr lang="en-GB" sz="900" b="0"/>
            <a:t>Higher card usage may improve accuracy of sales tracking, reduced theft risk, and easier accounting compared to cash-heavy </a:t>
          </a:r>
          <a:r>
            <a:rPr lang="en-GB" sz="900"/>
            <a:t>businesses.</a:t>
          </a:r>
        </a:p>
        <a:p>
          <a:endParaRPr lang="en-GB" sz="900"/>
        </a:p>
        <a:p>
          <a:endParaRPr lang="en-GB" sz="900" b="0"/>
        </a:p>
        <a:p>
          <a:pPr algn="l"/>
          <a:endParaRPr lang="en-NG" sz="900">
            <a:solidFill>
              <a:schemeClr val="bg1"/>
            </a:solidFill>
          </a:endParaRPr>
        </a:p>
      </xdr:txBody>
    </xdr:sp>
    <xdr:clientData/>
  </xdr:twoCellAnchor>
  <xdr:twoCellAnchor>
    <xdr:from>
      <xdr:col>14</xdr:col>
      <xdr:colOff>273050</xdr:colOff>
      <xdr:row>15</xdr:row>
      <xdr:rowOff>177800</xdr:rowOff>
    </xdr:from>
    <xdr:to>
      <xdr:col>21</xdr:col>
      <xdr:colOff>158750</xdr:colOff>
      <xdr:row>29</xdr:row>
      <xdr:rowOff>158750</xdr:rowOff>
    </xdr:to>
    <xdr:sp macro="" textlink="">
      <xdr:nvSpPr>
        <xdr:cNvPr id="6" name="Rectangle: Rounded Corners 5">
          <a:extLst>
            <a:ext uri="{FF2B5EF4-FFF2-40B4-BE49-F238E27FC236}">
              <a16:creationId xmlns:a16="http://schemas.microsoft.com/office/drawing/2014/main" id="{8E563CAB-240D-41FA-B6D3-CBF1074C7C47}"/>
            </a:ext>
          </a:extLst>
        </xdr:cNvPr>
        <xdr:cNvSpPr/>
      </xdr:nvSpPr>
      <xdr:spPr>
        <a:xfrm>
          <a:off x="8807450" y="2940050"/>
          <a:ext cx="4152900" cy="2559050"/>
        </a:xfrm>
        <a:prstGeom prst="roundRect">
          <a:avLst>
            <a:gd name="adj" fmla="val 5667"/>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900">
              <a:solidFill>
                <a:schemeClr val="bg1"/>
              </a:solidFill>
            </a:rPr>
            <a:t>Revenue by month</a:t>
          </a:r>
        </a:p>
        <a:p>
          <a:pPr algn="l"/>
          <a:r>
            <a:rPr lang="en-GB" sz="900">
              <a:solidFill>
                <a:schemeClr val="bg1"/>
              </a:solidFill>
            </a:rPr>
            <a:t>Observation</a:t>
          </a:r>
        </a:p>
        <a:p>
          <a:pPr algn="l"/>
          <a:r>
            <a:rPr lang="en-GB" sz="900">
              <a:solidFill>
                <a:schemeClr val="bg1"/>
              </a:solidFill>
            </a:rPr>
            <a:t>- February contributed</a:t>
          </a:r>
          <a:r>
            <a:rPr lang="en-GB" sz="900" baseline="0">
              <a:solidFill>
                <a:schemeClr val="bg1"/>
              </a:solidFill>
            </a:rPr>
            <a:t> 52.09% in the revenue generated</a:t>
          </a:r>
        </a:p>
        <a:p>
          <a:pPr algn="l"/>
          <a:r>
            <a:rPr lang="en-GB" sz="900" baseline="0">
              <a:solidFill>
                <a:schemeClr val="bg1"/>
              </a:solidFill>
            </a:rPr>
            <a:t>- While March had 47.91% in revenue</a:t>
          </a:r>
          <a:endParaRPr lang="en-GB" sz="900">
            <a:solidFill>
              <a:schemeClr val="bg1"/>
            </a:solidFill>
          </a:endParaRPr>
        </a:p>
        <a:p>
          <a:pPr algn="l"/>
          <a:endParaRPr lang="en-GB" sz="900">
            <a:solidFill>
              <a:schemeClr val="bg1"/>
            </a:solidFill>
          </a:endParaRPr>
        </a:p>
        <a:p>
          <a:pPr algn="l"/>
          <a:r>
            <a:rPr lang="en-GB" sz="900">
              <a:solidFill>
                <a:schemeClr val="bg1"/>
              </a:solidFill>
            </a:rPr>
            <a:t>Pre-insight</a:t>
          </a:r>
        </a:p>
        <a:p>
          <a:pPr algn="l"/>
          <a:r>
            <a:rPr lang="en-GB" sz="900">
              <a:solidFill>
                <a:schemeClr val="bg1"/>
              </a:solidFill>
            </a:rPr>
            <a:t>- </a:t>
          </a:r>
          <a:r>
            <a:rPr lang="en-GB" sz="900"/>
            <a:t>Revenue is </a:t>
          </a:r>
          <a:r>
            <a:rPr lang="en-GB" sz="900" b="0"/>
            <a:t>almost evenly split between February (52.09%) and March (47.91%)</a:t>
          </a:r>
        </a:p>
        <a:p>
          <a:r>
            <a:rPr lang="en-GB" sz="900" b="0">
              <a:solidFill>
                <a:schemeClr val="bg1"/>
              </a:solidFill>
            </a:rPr>
            <a:t>- </a:t>
          </a:r>
          <a:r>
            <a:rPr lang="en-GB" sz="900" b="0"/>
            <a:t>Early Sign of Seasonality</a:t>
          </a:r>
          <a:r>
            <a:rPr lang="en-GB" sz="900" b="0" baseline="0"/>
            <a:t> - </a:t>
          </a:r>
          <a:r>
            <a:rPr lang="en-GB" sz="900" b="0"/>
            <a:t>The minor variation could hint at seasonal or event-related impacts.</a:t>
          </a:r>
        </a:p>
        <a:p>
          <a:r>
            <a:rPr lang="en-GB" sz="900" b="0"/>
            <a:t>- Operational Planning Advantage</a:t>
          </a:r>
          <a:r>
            <a:rPr lang="en-GB" sz="900" b="0" baseline="0"/>
            <a:t> - </a:t>
          </a:r>
          <a:r>
            <a:rPr lang="en-GB" sz="900" b="0"/>
            <a:t>Since revenue doesn’t fluctuate heavily, inventory, staffing, and supply chains can be planned steadily, adjusting slightly for peak-event months</a:t>
          </a:r>
        </a:p>
        <a:p>
          <a:pPr algn="l"/>
          <a:endParaRPr lang="en-GB" sz="900" b="0">
            <a:solidFill>
              <a:schemeClr val="bg1"/>
            </a:solidFill>
          </a:endParaRPr>
        </a:p>
        <a:p>
          <a:endParaRPr lang="en-GB" sz="900"/>
        </a:p>
        <a:p>
          <a:endParaRPr lang="en-GB" sz="900" b="0"/>
        </a:p>
        <a:p>
          <a:pPr algn="l"/>
          <a:endParaRPr lang="en-NG" sz="900">
            <a:solidFill>
              <a:schemeClr val="bg1"/>
            </a:solidFill>
          </a:endParaRPr>
        </a:p>
      </xdr:txBody>
    </xdr:sp>
    <xdr:clientData/>
  </xdr:twoCellAnchor>
  <xdr:twoCellAnchor>
    <xdr:from>
      <xdr:col>14</xdr:col>
      <xdr:colOff>400050</xdr:colOff>
      <xdr:row>0</xdr:row>
      <xdr:rowOff>158750</xdr:rowOff>
    </xdr:from>
    <xdr:to>
      <xdr:col>21</xdr:col>
      <xdr:colOff>209550</xdr:colOff>
      <xdr:row>15</xdr:row>
      <xdr:rowOff>12700</xdr:rowOff>
    </xdr:to>
    <xdr:sp macro="" textlink="">
      <xdr:nvSpPr>
        <xdr:cNvPr id="7" name="Rectangle: Rounded Corners 6">
          <a:extLst>
            <a:ext uri="{FF2B5EF4-FFF2-40B4-BE49-F238E27FC236}">
              <a16:creationId xmlns:a16="http://schemas.microsoft.com/office/drawing/2014/main" id="{811ABCED-F17D-484B-ACD9-695D249DA692}"/>
            </a:ext>
          </a:extLst>
        </xdr:cNvPr>
        <xdr:cNvSpPr/>
      </xdr:nvSpPr>
      <xdr:spPr>
        <a:xfrm>
          <a:off x="8934450" y="158750"/>
          <a:ext cx="4076700" cy="2616200"/>
        </a:xfrm>
        <a:prstGeom prst="roundRect">
          <a:avLst>
            <a:gd name="adj" fmla="val 5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850">
              <a:solidFill>
                <a:schemeClr val="accent2">
                  <a:lumMod val="50000"/>
                </a:schemeClr>
              </a:solidFill>
            </a:rPr>
            <a:t>Top</a:t>
          </a:r>
          <a:r>
            <a:rPr lang="en-GB" sz="850" baseline="0">
              <a:solidFill>
                <a:schemeClr val="accent2">
                  <a:lumMod val="50000"/>
                </a:schemeClr>
              </a:solidFill>
            </a:rPr>
            <a:t> 6 sold coffee type by quantity</a:t>
          </a:r>
          <a:endParaRPr lang="en-GB" sz="850">
            <a:solidFill>
              <a:schemeClr val="accent2">
                <a:lumMod val="50000"/>
              </a:schemeClr>
            </a:solidFill>
          </a:endParaRPr>
        </a:p>
        <a:p>
          <a:pPr algn="l"/>
          <a:r>
            <a:rPr lang="en-GB" sz="800" b="0">
              <a:solidFill>
                <a:schemeClr val="accent2">
                  <a:lumMod val="50000"/>
                </a:schemeClr>
              </a:solidFill>
            </a:rPr>
            <a:t>Observation</a:t>
          </a:r>
        </a:p>
        <a:p>
          <a:pPr algn="l"/>
          <a:r>
            <a:rPr lang="en-GB" sz="800" b="0">
              <a:solidFill>
                <a:schemeClr val="accent2">
                  <a:lumMod val="50000"/>
                </a:schemeClr>
              </a:solidFill>
            </a:rPr>
            <a:t>- The top 6 selling beverages by quantity sold</a:t>
          </a:r>
          <a:r>
            <a:rPr lang="en-GB" sz="800" b="0" baseline="0">
              <a:solidFill>
                <a:schemeClr val="accent2">
                  <a:lumMod val="50000"/>
                </a:schemeClr>
              </a:solidFill>
            </a:rPr>
            <a:t> are: </a:t>
          </a:r>
        </a:p>
        <a:p>
          <a:pPr algn="l"/>
          <a:r>
            <a:rPr lang="en-GB" sz="800" b="0" i="0" u="none" strike="noStrike" baseline="0">
              <a:solidFill>
                <a:schemeClr val="accent2">
                  <a:lumMod val="50000"/>
                </a:schemeClr>
              </a:solidFill>
              <a:effectLst/>
              <a:latin typeface="+mn-lt"/>
              <a:ea typeface="+mn-ea"/>
              <a:cs typeface="+mn-cs"/>
            </a:rPr>
            <a:t>- </a:t>
          </a:r>
          <a:r>
            <a:rPr lang="en-GB" sz="800" b="0" i="0" u="none" strike="noStrike">
              <a:solidFill>
                <a:schemeClr val="accent2">
                  <a:lumMod val="50000"/>
                </a:schemeClr>
              </a:solidFill>
              <a:effectLst/>
              <a:latin typeface="+mn-lt"/>
              <a:ea typeface="+mn-ea"/>
              <a:cs typeface="+mn-cs"/>
            </a:rPr>
            <a:t>Americano with milk</a:t>
          </a:r>
          <a:r>
            <a:rPr lang="en-GB" sz="800">
              <a:solidFill>
                <a:schemeClr val="accent2">
                  <a:lumMod val="50000"/>
                </a:schemeClr>
              </a:solidFill>
            </a:rPr>
            <a:t> - </a:t>
          </a:r>
          <a:r>
            <a:rPr lang="en-GB" sz="800" b="0" i="0" u="none" strike="noStrike">
              <a:solidFill>
                <a:schemeClr val="accent2">
                  <a:lumMod val="50000"/>
                </a:schemeClr>
              </a:solidFill>
              <a:effectLst/>
              <a:latin typeface="+mn-lt"/>
              <a:ea typeface="+mn-ea"/>
              <a:cs typeface="+mn-cs"/>
            </a:rPr>
            <a:t>44</a:t>
          </a:r>
        </a:p>
        <a:p>
          <a:pPr algn="l"/>
          <a:r>
            <a:rPr lang="en-GB" sz="800" b="0" i="0" u="none" strike="noStrike">
              <a:solidFill>
                <a:schemeClr val="accent2">
                  <a:lumMod val="50000"/>
                </a:schemeClr>
              </a:solidFill>
              <a:effectLst/>
              <a:latin typeface="+mn-lt"/>
              <a:ea typeface="+mn-ea"/>
              <a:cs typeface="+mn-cs"/>
            </a:rPr>
            <a:t>-</a:t>
          </a:r>
          <a:r>
            <a:rPr lang="en-GB" sz="800">
              <a:solidFill>
                <a:schemeClr val="accent2">
                  <a:lumMod val="50000"/>
                </a:schemeClr>
              </a:solidFill>
            </a:rPr>
            <a:t> </a:t>
          </a:r>
          <a:r>
            <a:rPr lang="en-GB" sz="800" b="0" i="0" u="none" strike="noStrike">
              <a:solidFill>
                <a:schemeClr val="accent2">
                  <a:lumMod val="50000"/>
                </a:schemeClr>
              </a:solidFill>
              <a:effectLst/>
              <a:latin typeface="+mn-lt"/>
              <a:ea typeface="+mn-ea"/>
              <a:cs typeface="+mn-cs"/>
            </a:rPr>
            <a:t>Latte -</a:t>
          </a:r>
          <a:r>
            <a:rPr lang="en-GB" sz="800">
              <a:solidFill>
                <a:schemeClr val="accent2">
                  <a:lumMod val="50000"/>
                </a:schemeClr>
              </a:solidFill>
            </a:rPr>
            <a:t> </a:t>
          </a:r>
          <a:r>
            <a:rPr lang="en-GB" sz="800" b="0" i="0" u="none" strike="noStrike">
              <a:solidFill>
                <a:schemeClr val="accent2">
                  <a:lumMod val="50000"/>
                </a:schemeClr>
              </a:solidFill>
              <a:effectLst/>
              <a:latin typeface="+mn-lt"/>
              <a:ea typeface="+mn-ea"/>
              <a:cs typeface="+mn-cs"/>
            </a:rPr>
            <a:t>24</a:t>
          </a:r>
          <a:r>
            <a:rPr lang="en-GB" sz="800">
              <a:solidFill>
                <a:schemeClr val="accent2">
                  <a:lumMod val="50000"/>
                </a:schemeClr>
              </a:solidFill>
            </a:rPr>
            <a:t> </a:t>
          </a:r>
        </a:p>
        <a:p>
          <a:pPr algn="l"/>
          <a:r>
            <a:rPr lang="en-GB" sz="800" b="0" i="0" u="none" strike="noStrike">
              <a:solidFill>
                <a:schemeClr val="accent2">
                  <a:lumMod val="50000"/>
                </a:schemeClr>
              </a:solidFill>
              <a:effectLst/>
              <a:latin typeface="+mn-lt"/>
              <a:ea typeface="+mn-ea"/>
              <a:cs typeface="+mn-cs"/>
            </a:rPr>
            <a:t>- Irish whiskey</a:t>
          </a:r>
          <a:r>
            <a:rPr lang="en-GB" sz="800">
              <a:solidFill>
                <a:schemeClr val="accent2">
                  <a:lumMod val="50000"/>
                </a:schemeClr>
              </a:solidFill>
            </a:rPr>
            <a:t> - </a:t>
          </a:r>
          <a:r>
            <a:rPr lang="en-GB" sz="800" b="0" i="0" u="none" strike="noStrike">
              <a:solidFill>
                <a:schemeClr val="accent2">
                  <a:lumMod val="50000"/>
                </a:schemeClr>
              </a:solidFill>
              <a:effectLst/>
              <a:latin typeface="+mn-lt"/>
              <a:ea typeface="+mn-ea"/>
              <a:cs typeface="+mn-cs"/>
            </a:rPr>
            <a:t>21</a:t>
          </a:r>
          <a:r>
            <a:rPr lang="en-GB" sz="800">
              <a:solidFill>
                <a:schemeClr val="accent2">
                  <a:lumMod val="50000"/>
                </a:schemeClr>
              </a:solidFill>
            </a:rPr>
            <a:t> </a:t>
          </a:r>
        </a:p>
        <a:p>
          <a:pPr algn="l"/>
          <a:r>
            <a:rPr lang="en-GB" sz="800" b="0" i="0" u="none" strike="noStrike">
              <a:solidFill>
                <a:schemeClr val="accent2">
                  <a:lumMod val="50000"/>
                </a:schemeClr>
              </a:solidFill>
              <a:effectLst/>
              <a:latin typeface="+mn-lt"/>
              <a:ea typeface="+mn-ea"/>
              <a:cs typeface="+mn-cs"/>
            </a:rPr>
            <a:t>- Espresso -</a:t>
          </a:r>
          <a:r>
            <a:rPr lang="en-GB" sz="800">
              <a:solidFill>
                <a:schemeClr val="accent2">
                  <a:lumMod val="50000"/>
                </a:schemeClr>
              </a:solidFill>
            </a:rPr>
            <a:t> </a:t>
          </a:r>
          <a:r>
            <a:rPr lang="en-GB" sz="800" b="0" i="0" u="none" strike="noStrike">
              <a:solidFill>
                <a:schemeClr val="accent2">
                  <a:lumMod val="50000"/>
                </a:schemeClr>
              </a:solidFill>
              <a:effectLst/>
              <a:latin typeface="+mn-lt"/>
              <a:ea typeface="+mn-ea"/>
              <a:cs typeface="+mn-cs"/>
            </a:rPr>
            <a:t>18</a:t>
          </a:r>
          <a:r>
            <a:rPr lang="en-GB" sz="800">
              <a:solidFill>
                <a:schemeClr val="accent2">
                  <a:lumMod val="50000"/>
                </a:schemeClr>
              </a:solidFill>
            </a:rPr>
            <a:t> </a:t>
          </a:r>
        </a:p>
        <a:p>
          <a:pPr algn="l"/>
          <a:r>
            <a:rPr lang="en-GB" sz="800" b="0" i="0" u="none" strike="noStrike">
              <a:solidFill>
                <a:schemeClr val="accent2">
                  <a:lumMod val="50000"/>
                </a:schemeClr>
              </a:solidFill>
              <a:effectLst/>
              <a:latin typeface="+mn-lt"/>
              <a:ea typeface="+mn-ea"/>
              <a:cs typeface="+mn-cs"/>
            </a:rPr>
            <a:t>- Coffee with Irish whiskey</a:t>
          </a:r>
          <a:r>
            <a:rPr lang="en-GB" sz="800">
              <a:solidFill>
                <a:schemeClr val="accent2">
                  <a:lumMod val="50000"/>
                </a:schemeClr>
              </a:solidFill>
            </a:rPr>
            <a:t> - </a:t>
          </a:r>
          <a:r>
            <a:rPr lang="en-GB" sz="800" b="0" i="0" u="none" strike="noStrike">
              <a:solidFill>
                <a:schemeClr val="accent2">
                  <a:lumMod val="50000"/>
                </a:schemeClr>
              </a:solidFill>
              <a:effectLst/>
              <a:latin typeface="+mn-lt"/>
              <a:ea typeface="+mn-ea"/>
              <a:cs typeface="+mn-cs"/>
            </a:rPr>
            <a:t>16</a:t>
          </a:r>
          <a:r>
            <a:rPr lang="en-GB" sz="800">
              <a:solidFill>
                <a:schemeClr val="accent2">
                  <a:lumMod val="50000"/>
                </a:schemeClr>
              </a:solidFill>
            </a:rPr>
            <a:t> </a:t>
          </a:r>
        </a:p>
        <a:p>
          <a:pPr algn="l"/>
          <a:r>
            <a:rPr lang="en-GB" sz="800" b="0" i="0" u="none" strike="noStrike">
              <a:solidFill>
                <a:schemeClr val="accent2">
                  <a:lumMod val="50000"/>
                </a:schemeClr>
              </a:solidFill>
              <a:effectLst/>
              <a:latin typeface="+mn-lt"/>
              <a:ea typeface="+mn-ea"/>
              <a:cs typeface="+mn-cs"/>
            </a:rPr>
            <a:t>- Tea</a:t>
          </a:r>
          <a:r>
            <a:rPr lang="en-GB" sz="800">
              <a:solidFill>
                <a:schemeClr val="accent2">
                  <a:lumMod val="50000"/>
                </a:schemeClr>
              </a:solidFill>
            </a:rPr>
            <a:t> - </a:t>
          </a:r>
          <a:r>
            <a:rPr lang="en-GB" sz="800" b="0" i="0" u="none" strike="noStrike">
              <a:solidFill>
                <a:schemeClr val="accent2">
                  <a:lumMod val="50000"/>
                </a:schemeClr>
              </a:solidFill>
              <a:effectLst/>
              <a:latin typeface="+mn-lt"/>
              <a:ea typeface="+mn-ea"/>
              <a:cs typeface="+mn-cs"/>
            </a:rPr>
            <a:t>16</a:t>
          </a:r>
          <a:r>
            <a:rPr lang="en-GB" sz="800">
              <a:solidFill>
                <a:schemeClr val="accent2">
                  <a:lumMod val="50000"/>
                </a:schemeClr>
              </a:solidFill>
            </a:rPr>
            <a:t> </a:t>
          </a:r>
        </a:p>
        <a:p>
          <a:pPr algn="l"/>
          <a:r>
            <a:rPr lang="en-GB" sz="800" b="0" i="0" u="none" strike="noStrike">
              <a:solidFill>
                <a:schemeClr val="accent2">
                  <a:lumMod val="50000"/>
                </a:schemeClr>
              </a:solidFill>
              <a:effectLst/>
              <a:latin typeface="+mn-lt"/>
              <a:ea typeface="+mn-ea"/>
              <a:cs typeface="+mn-cs"/>
            </a:rPr>
            <a:t>- Cappuccino -</a:t>
          </a:r>
          <a:r>
            <a:rPr lang="en-GB" sz="800">
              <a:solidFill>
                <a:schemeClr val="accent2">
                  <a:lumMod val="50000"/>
                </a:schemeClr>
              </a:solidFill>
            </a:rPr>
            <a:t> </a:t>
          </a:r>
          <a:r>
            <a:rPr lang="en-GB" sz="800" b="0" i="0" u="none" strike="noStrike">
              <a:solidFill>
                <a:schemeClr val="accent2">
                  <a:lumMod val="50000"/>
                </a:schemeClr>
              </a:solidFill>
              <a:effectLst/>
              <a:latin typeface="+mn-lt"/>
              <a:ea typeface="+mn-ea"/>
              <a:cs typeface="+mn-cs"/>
            </a:rPr>
            <a:t>16</a:t>
          </a:r>
          <a:r>
            <a:rPr lang="en-GB" sz="800">
              <a:solidFill>
                <a:schemeClr val="accent2">
                  <a:lumMod val="50000"/>
                </a:schemeClr>
              </a:solidFill>
            </a:rPr>
            <a:t> </a:t>
          </a:r>
          <a:endParaRPr lang="en-GB" sz="800" b="0">
            <a:solidFill>
              <a:schemeClr val="accent2">
                <a:lumMod val="50000"/>
              </a:schemeClr>
            </a:solidFill>
          </a:endParaRPr>
        </a:p>
        <a:p>
          <a:pPr algn="l"/>
          <a:endParaRPr lang="en-GB" sz="800" b="0">
            <a:solidFill>
              <a:schemeClr val="accent2">
                <a:lumMod val="50000"/>
              </a:schemeClr>
            </a:solidFill>
          </a:endParaRPr>
        </a:p>
        <a:p>
          <a:pPr algn="l"/>
          <a:r>
            <a:rPr lang="en-GB" sz="800" b="0">
              <a:solidFill>
                <a:schemeClr val="accent2">
                  <a:lumMod val="50000"/>
                </a:schemeClr>
              </a:solidFill>
            </a:rPr>
            <a:t>Pre-insight</a:t>
          </a:r>
        </a:p>
        <a:p>
          <a:r>
            <a:rPr lang="en-GB" sz="800" b="1">
              <a:solidFill>
                <a:schemeClr val="accent2">
                  <a:lumMod val="50000"/>
                </a:schemeClr>
              </a:solidFill>
            </a:rPr>
            <a:t>- </a:t>
          </a:r>
          <a:r>
            <a:rPr lang="en-GB" sz="800" b="0">
              <a:solidFill>
                <a:schemeClr val="accent2">
                  <a:lumMod val="50000"/>
                </a:schemeClr>
              </a:solidFill>
            </a:rPr>
            <a:t>Diverse Taste Preferences</a:t>
          </a:r>
          <a:r>
            <a:rPr lang="en-GB" sz="800" b="0" baseline="0">
              <a:solidFill>
                <a:schemeClr val="accent2">
                  <a:lumMod val="50000"/>
                </a:schemeClr>
              </a:solidFill>
            </a:rPr>
            <a:t> - </a:t>
          </a:r>
          <a:r>
            <a:rPr lang="en-GB" sz="800" b="0">
              <a:solidFill>
                <a:schemeClr val="accent2">
                  <a:lumMod val="50000"/>
                </a:schemeClr>
              </a:solidFill>
            </a:rPr>
            <a:t>The mix of classic coffees,</a:t>
          </a:r>
          <a:r>
            <a:rPr lang="en-GB" sz="800" b="0" baseline="0">
              <a:solidFill>
                <a:schemeClr val="accent2">
                  <a:lumMod val="50000"/>
                </a:schemeClr>
              </a:solidFill>
            </a:rPr>
            <a:t> </a:t>
          </a:r>
          <a:r>
            <a:rPr lang="en-GB" sz="800" b="0">
              <a:solidFill>
                <a:schemeClr val="accent2">
                  <a:lumMod val="50000"/>
                </a:schemeClr>
              </a:solidFill>
            </a:rPr>
            <a:t>premium alcoholic blends, and even Tea highlights a diverse customer base with varying tastes.</a:t>
          </a:r>
        </a:p>
        <a:p>
          <a:r>
            <a:rPr lang="en-GB" sz="800" b="0">
              <a:solidFill>
                <a:schemeClr val="accent2">
                  <a:lumMod val="50000"/>
                </a:schemeClr>
              </a:solidFill>
            </a:rPr>
            <a:t>- Quantity vs. Revenue Insight</a:t>
          </a:r>
          <a:r>
            <a:rPr lang="en-GB" sz="800" b="0" baseline="0">
              <a:solidFill>
                <a:schemeClr val="accent2">
                  <a:lumMod val="50000"/>
                </a:schemeClr>
              </a:solidFill>
            </a:rPr>
            <a:t> - </a:t>
          </a:r>
          <a:r>
            <a:rPr lang="en-GB" sz="800" b="0">
              <a:solidFill>
                <a:schemeClr val="accent2">
                  <a:lumMod val="50000"/>
                </a:schemeClr>
              </a:solidFill>
            </a:rPr>
            <a:t>Some beverages (e.g., Irish whiskey, Coffee with Irish whiskey) may have lower quantities but higher revenue contribution, reflecting premium pricing.</a:t>
          </a:r>
        </a:p>
        <a:p>
          <a:r>
            <a:rPr lang="en-GB" sz="800" b="0">
              <a:solidFill>
                <a:schemeClr val="accent2">
                  <a:lumMod val="50000"/>
                </a:schemeClr>
              </a:solidFill>
            </a:rPr>
            <a:t>- Menu Effectiveness</a:t>
          </a:r>
          <a:r>
            <a:rPr lang="en-GB" sz="800" b="0" baseline="0">
              <a:solidFill>
                <a:schemeClr val="accent2">
                  <a:lumMod val="50000"/>
                </a:schemeClr>
              </a:solidFill>
            </a:rPr>
            <a:t> -</a:t>
          </a:r>
          <a:r>
            <a:rPr lang="en-GB" sz="800" b="0">
              <a:solidFill>
                <a:schemeClr val="accent2">
                  <a:lumMod val="50000"/>
                </a:schemeClr>
              </a:solidFill>
            </a:rPr>
            <a:t> Majority of demand is concentrated among a small set of options.</a:t>
          </a:r>
        </a:p>
        <a:p>
          <a:pPr algn="l"/>
          <a:endParaRPr lang="en-NG" sz="900" b="0">
            <a:solidFill>
              <a:schemeClr val="accent2">
                <a:lumMod val="50000"/>
              </a:schemeClr>
            </a:solidFill>
          </a:endParaRPr>
        </a:p>
      </xdr:txBody>
    </xdr:sp>
    <xdr:clientData/>
  </xdr:twoCellAnchor>
  <xdr:twoCellAnchor>
    <xdr:from>
      <xdr:col>23</xdr:col>
      <xdr:colOff>254000</xdr:colOff>
      <xdr:row>0</xdr:row>
      <xdr:rowOff>0</xdr:rowOff>
    </xdr:from>
    <xdr:to>
      <xdr:col>30</xdr:col>
      <xdr:colOff>63500</xdr:colOff>
      <xdr:row>0</xdr:row>
      <xdr:rowOff>0</xdr:rowOff>
    </xdr:to>
    <xdr:sp macro="" textlink="">
      <xdr:nvSpPr>
        <xdr:cNvPr id="8" name="Rectangle: Rounded Corners 7">
          <a:extLst>
            <a:ext uri="{FF2B5EF4-FFF2-40B4-BE49-F238E27FC236}">
              <a16:creationId xmlns:a16="http://schemas.microsoft.com/office/drawing/2014/main" id="{1BA81697-A42B-4B0F-B187-82F8A4B2D027}"/>
            </a:ext>
          </a:extLst>
        </xdr:cNvPr>
        <xdr:cNvSpPr/>
      </xdr:nvSpPr>
      <xdr:spPr>
        <a:xfrm>
          <a:off x="14274800" y="0"/>
          <a:ext cx="4076700" cy="0"/>
        </a:xfrm>
        <a:prstGeom prst="roundRect">
          <a:avLst>
            <a:gd name="adj" fmla="val 5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900">
              <a:solidFill>
                <a:schemeClr val="accent2">
                  <a:lumMod val="50000"/>
                </a:schemeClr>
              </a:solidFill>
            </a:rPr>
            <a:t>Top</a:t>
          </a:r>
          <a:r>
            <a:rPr lang="en-GB" sz="900" baseline="0">
              <a:solidFill>
                <a:schemeClr val="accent2">
                  <a:lumMod val="50000"/>
                </a:schemeClr>
              </a:solidFill>
            </a:rPr>
            <a:t> 5 coffee by revenue</a:t>
          </a:r>
          <a:endParaRPr lang="en-GB" sz="900">
            <a:solidFill>
              <a:schemeClr val="accent2">
                <a:lumMod val="50000"/>
              </a:schemeClr>
            </a:solidFill>
          </a:endParaRPr>
        </a:p>
        <a:p>
          <a:pPr algn="l"/>
          <a:r>
            <a:rPr lang="en-GB" sz="900" b="0">
              <a:solidFill>
                <a:schemeClr val="accent2">
                  <a:lumMod val="50000"/>
                </a:schemeClr>
              </a:solidFill>
            </a:rPr>
            <a:t>Observation</a:t>
          </a:r>
        </a:p>
        <a:p>
          <a:pPr algn="l"/>
          <a:r>
            <a:rPr lang="en-GB" sz="900" b="0">
              <a:solidFill>
                <a:schemeClr val="accent2">
                  <a:lumMod val="50000"/>
                </a:schemeClr>
              </a:solidFill>
            </a:rPr>
            <a:t>Out of 31 beverages,</a:t>
          </a:r>
          <a:r>
            <a:rPr lang="en-GB" sz="900" b="0" baseline="0">
              <a:solidFill>
                <a:schemeClr val="accent2">
                  <a:lumMod val="50000"/>
                </a:schemeClr>
              </a:solidFill>
            </a:rPr>
            <a:t> t</a:t>
          </a:r>
          <a:r>
            <a:rPr lang="en-GB" sz="900" b="0">
              <a:solidFill>
                <a:schemeClr val="accent2">
                  <a:lumMod val="50000"/>
                </a:schemeClr>
              </a:solidFill>
            </a:rPr>
            <a:t>he top five beverage drinks by revenue accrued are: </a:t>
          </a:r>
        </a:p>
        <a:p>
          <a:pPr algn="l"/>
          <a:r>
            <a:rPr lang="en-GB" sz="900" b="0" i="0" u="none" strike="noStrike">
              <a:solidFill>
                <a:schemeClr val="accent2">
                  <a:lumMod val="50000"/>
                </a:schemeClr>
              </a:solidFill>
              <a:effectLst/>
              <a:latin typeface="+mn-lt"/>
              <a:ea typeface="+mn-ea"/>
              <a:cs typeface="+mn-cs"/>
            </a:rPr>
            <a:t>- Americano with milk</a:t>
          </a:r>
          <a:r>
            <a:rPr lang="en-GB" sz="900">
              <a:solidFill>
                <a:schemeClr val="accent2">
                  <a:lumMod val="50000"/>
                </a:schemeClr>
              </a:solidFill>
            </a:rPr>
            <a:t> - </a:t>
          </a:r>
          <a:r>
            <a:rPr lang="en-GB" sz="900" b="0" i="0" u="none" strike="noStrike">
              <a:solidFill>
                <a:schemeClr val="accent2">
                  <a:lumMod val="50000"/>
                </a:schemeClr>
              </a:solidFill>
              <a:effectLst/>
              <a:latin typeface="+mn-lt"/>
              <a:ea typeface="+mn-ea"/>
              <a:cs typeface="+mn-cs"/>
            </a:rPr>
            <a:t>$1,100.00</a:t>
          </a:r>
          <a:r>
            <a:rPr lang="en-GB" sz="900">
              <a:solidFill>
                <a:schemeClr val="accent2">
                  <a:lumMod val="50000"/>
                </a:schemeClr>
              </a:solidFill>
            </a:rPr>
            <a:t> </a:t>
          </a:r>
        </a:p>
        <a:p>
          <a:pPr algn="l"/>
          <a:r>
            <a:rPr lang="en-GB" sz="900" b="0" i="0" u="none" strike="noStrike">
              <a:solidFill>
                <a:schemeClr val="accent2">
                  <a:lumMod val="50000"/>
                </a:schemeClr>
              </a:solidFill>
              <a:effectLst/>
              <a:latin typeface="+mn-lt"/>
              <a:ea typeface="+mn-ea"/>
              <a:cs typeface="+mn-cs"/>
            </a:rPr>
            <a:t>- Latte</a:t>
          </a:r>
          <a:r>
            <a:rPr lang="en-GB" sz="900">
              <a:solidFill>
                <a:schemeClr val="accent2">
                  <a:lumMod val="50000"/>
                </a:schemeClr>
              </a:solidFill>
            </a:rPr>
            <a:t> - </a:t>
          </a:r>
          <a:r>
            <a:rPr lang="en-GB" sz="900" b="0" i="0" u="none" strike="noStrike">
              <a:solidFill>
                <a:schemeClr val="accent2">
                  <a:lumMod val="50000"/>
                </a:schemeClr>
              </a:solidFill>
              <a:effectLst/>
              <a:latin typeface="+mn-lt"/>
              <a:ea typeface="+mn-ea"/>
              <a:cs typeface="+mn-cs"/>
            </a:rPr>
            <a:t>$792.00</a:t>
          </a:r>
        </a:p>
        <a:p>
          <a:pPr algn="l"/>
          <a:r>
            <a:rPr lang="en-GB" sz="900" b="0" i="0" u="none" strike="noStrike">
              <a:solidFill>
                <a:schemeClr val="accent2">
                  <a:lumMod val="50000"/>
                </a:schemeClr>
              </a:solidFill>
              <a:effectLst/>
              <a:latin typeface="+mn-lt"/>
              <a:ea typeface="+mn-ea"/>
              <a:cs typeface="+mn-cs"/>
            </a:rPr>
            <a:t>-</a:t>
          </a:r>
          <a:r>
            <a:rPr lang="en-GB" sz="900">
              <a:solidFill>
                <a:schemeClr val="accent2">
                  <a:lumMod val="50000"/>
                </a:schemeClr>
              </a:solidFill>
            </a:rPr>
            <a:t> </a:t>
          </a:r>
          <a:r>
            <a:rPr lang="en-GB" sz="900" b="0" i="0" u="none" strike="noStrike">
              <a:solidFill>
                <a:schemeClr val="accent2">
                  <a:lumMod val="50000"/>
                </a:schemeClr>
              </a:solidFill>
              <a:effectLst/>
              <a:latin typeface="+mn-lt"/>
              <a:ea typeface="+mn-ea"/>
              <a:cs typeface="+mn-cs"/>
            </a:rPr>
            <a:t>Irish whiskey -</a:t>
          </a:r>
          <a:r>
            <a:rPr lang="en-GB" sz="900">
              <a:solidFill>
                <a:schemeClr val="accent2">
                  <a:lumMod val="50000"/>
                </a:schemeClr>
              </a:solidFill>
            </a:rPr>
            <a:t> </a:t>
          </a:r>
          <a:r>
            <a:rPr lang="en-GB" sz="900" b="0" i="0" u="none" strike="noStrike">
              <a:solidFill>
                <a:schemeClr val="accent2">
                  <a:lumMod val="50000"/>
                </a:schemeClr>
              </a:solidFill>
              <a:effectLst/>
              <a:latin typeface="+mn-lt"/>
              <a:ea typeface="+mn-ea"/>
              <a:cs typeface="+mn-cs"/>
            </a:rPr>
            <a:t>$525.00</a:t>
          </a:r>
          <a:r>
            <a:rPr lang="en-GB" sz="900">
              <a:solidFill>
                <a:schemeClr val="accent2">
                  <a:lumMod val="50000"/>
                </a:schemeClr>
              </a:solidFill>
            </a:rPr>
            <a:t> </a:t>
          </a:r>
        </a:p>
        <a:p>
          <a:pPr algn="l"/>
          <a:r>
            <a:rPr lang="en-GB" sz="900" b="0" i="0" u="none" strike="noStrike">
              <a:solidFill>
                <a:schemeClr val="accent2">
                  <a:lumMod val="50000"/>
                </a:schemeClr>
              </a:solidFill>
              <a:effectLst/>
              <a:latin typeface="+mn-lt"/>
              <a:ea typeface="+mn-ea"/>
              <a:cs typeface="+mn-cs"/>
            </a:rPr>
            <a:t>- Cappuccino</a:t>
          </a:r>
          <a:r>
            <a:rPr lang="en-GB" sz="900">
              <a:solidFill>
                <a:schemeClr val="accent2">
                  <a:lumMod val="50000"/>
                </a:schemeClr>
              </a:solidFill>
            </a:rPr>
            <a:t> - </a:t>
          </a:r>
          <a:r>
            <a:rPr lang="en-GB" sz="900" b="0" i="0" u="none" strike="noStrike">
              <a:solidFill>
                <a:schemeClr val="accent2">
                  <a:lumMod val="50000"/>
                </a:schemeClr>
              </a:solidFill>
              <a:effectLst/>
              <a:latin typeface="+mn-lt"/>
              <a:ea typeface="+mn-ea"/>
              <a:cs typeface="+mn-cs"/>
            </a:rPr>
            <a:t>$480.00</a:t>
          </a:r>
        </a:p>
        <a:p>
          <a:pPr algn="l"/>
          <a:r>
            <a:rPr lang="en-GB" sz="900" b="0" i="0" u="none" strike="noStrike">
              <a:solidFill>
                <a:schemeClr val="accent2">
                  <a:lumMod val="50000"/>
                </a:schemeClr>
              </a:solidFill>
              <a:effectLst/>
              <a:latin typeface="+mn-lt"/>
              <a:ea typeface="+mn-ea"/>
              <a:cs typeface="+mn-cs"/>
            </a:rPr>
            <a:t>-</a:t>
          </a:r>
          <a:r>
            <a:rPr lang="en-GB" sz="900">
              <a:solidFill>
                <a:schemeClr val="accent2">
                  <a:lumMod val="50000"/>
                </a:schemeClr>
              </a:solidFill>
            </a:rPr>
            <a:t> </a:t>
          </a:r>
          <a:r>
            <a:rPr lang="en-GB" sz="900" b="0" i="0" u="none" strike="noStrike">
              <a:solidFill>
                <a:schemeClr val="accent2">
                  <a:lumMod val="50000"/>
                </a:schemeClr>
              </a:solidFill>
              <a:effectLst/>
              <a:latin typeface="+mn-lt"/>
              <a:ea typeface="+mn-ea"/>
              <a:cs typeface="+mn-cs"/>
            </a:rPr>
            <a:t>Coffee with Irish whiskey</a:t>
          </a:r>
          <a:r>
            <a:rPr lang="en-GB" sz="900">
              <a:solidFill>
                <a:schemeClr val="accent2">
                  <a:lumMod val="50000"/>
                </a:schemeClr>
              </a:solidFill>
            </a:rPr>
            <a:t> - </a:t>
          </a:r>
          <a:r>
            <a:rPr lang="en-GB" sz="900" b="0" i="0" u="none" strike="noStrike">
              <a:solidFill>
                <a:schemeClr val="accent2">
                  <a:lumMod val="50000"/>
                </a:schemeClr>
              </a:solidFill>
              <a:effectLst/>
              <a:latin typeface="+mn-lt"/>
              <a:ea typeface="+mn-ea"/>
              <a:cs typeface="+mn-cs"/>
            </a:rPr>
            <a:t>$464.00</a:t>
          </a:r>
          <a:r>
            <a:rPr lang="en-GB" sz="900">
              <a:solidFill>
                <a:schemeClr val="accent2">
                  <a:lumMod val="50000"/>
                </a:schemeClr>
              </a:solidFill>
            </a:rPr>
            <a:t> </a:t>
          </a:r>
          <a:endParaRPr lang="en-GB" sz="900" b="0">
            <a:solidFill>
              <a:schemeClr val="accent2">
                <a:lumMod val="50000"/>
              </a:schemeClr>
            </a:solidFill>
          </a:endParaRPr>
        </a:p>
        <a:p>
          <a:pPr algn="l"/>
          <a:endParaRPr lang="en-GB" sz="900" b="0">
            <a:solidFill>
              <a:schemeClr val="accent2">
                <a:lumMod val="50000"/>
              </a:schemeClr>
            </a:solidFill>
          </a:endParaRPr>
        </a:p>
        <a:p>
          <a:pPr algn="l"/>
          <a:r>
            <a:rPr lang="en-GB" sz="900" b="0">
              <a:solidFill>
                <a:schemeClr val="accent2">
                  <a:lumMod val="50000"/>
                </a:schemeClr>
              </a:solidFill>
            </a:rPr>
            <a:t>Pre-insight</a:t>
          </a:r>
        </a:p>
        <a:p>
          <a:r>
            <a:rPr lang="en-GB" sz="900" b="0">
              <a:solidFill>
                <a:schemeClr val="accent2">
                  <a:lumMod val="50000"/>
                </a:schemeClr>
              </a:solidFill>
            </a:rPr>
            <a:t>- Customer Segmentation Insight</a:t>
          </a:r>
          <a:r>
            <a:rPr lang="en-GB" sz="900" b="0" baseline="0">
              <a:solidFill>
                <a:schemeClr val="accent2">
                  <a:lumMod val="50000"/>
                </a:schemeClr>
              </a:solidFill>
            </a:rPr>
            <a:t> - </a:t>
          </a:r>
          <a:r>
            <a:rPr lang="en-GB" sz="900" b="0">
              <a:solidFill>
                <a:schemeClr val="accent2">
                  <a:lumMod val="50000"/>
                </a:schemeClr>
              </a:solidFill>
            </a:rPr>
            <a:t>Customers are divided between those who prefer classic coffees (Americano, Latte, Cappuccino) and those who enjoy premium/novelty drinks (Irish whiskey variants).</a:t>
          </a:r>
        </a:p>
        <a:p>
          <a:r>
            <a:rPr lang="en-GB" sz="900" b="0">
              <a:solidFill>
                <a:schemeClr val="accent2">
                  <a:lumMod val="50000"/>
                </a:schemeClr>
              </a:solidFill>
            </a:rPr>
            <a:t>- Growth Potential</a:t>
          </a:r>
          <a:r>
            <a:rPr lang="en-GB" sz="900" b="0" baseline="0">
              <a:solidFill>
                <a:schemeClr val="accent2">
                  <a:lumMod val="50000"/>
                </a:schemeClr>
              </a:solidFill>
            </a:rPr>
            <a:t> - </a:t>
          </a:r>
          <a:r>
            <a:rPr lang="en-GB" sz="900" b="0">
              <a:solidFill>
                <a:schemeClr val="accent2">
                  <a:lumMod val="50000"/>
                </a:schemeClr>
              </a:solidFill>
            </a:rPr>
            <a:t>The popularity of these five drinks provides opportunities to:</a:t>
          </a:r>
        </a:p>
        <a:p>
          <a:pPr lvl="1"/>
          <a:r>
            <a:rPr lang="en-GB" sz="900" b="0">
              <a:solidFill>
                <a:schemeClr val="accent2">
                  <a:lumMod val="50000"/>
                </a:schemeClr>
              </a:solidFill>
            </a:rPr>
            <a:t>Upsell variations (e.g., flavored lattes, seasonal Americanos).</a:t>
          </a:r>
        </a:p>
        <a:p>
          <a:pPr lvl="1"/>
          <a:r>
            <a:rPr lang="en-GB" sz="900" b="0">
              <a:solidFill>
                <a:schemeClr val="accent2">
                  <a:lumMod val="50000"/>
                </a:schemeClr>
              </a:solidFill>
            </a:rPr>
            <a:t>Bundle offers (e.g., “Top Seller Combo” promotions).</a:t>
          </a:r>
        </a:p>
        <a:p>
          <a:pPr algn="l"/>
          <a:endParaRPr lang="en-NG" sz="900" b="0">
            <a:solidFill>
              <a:schemeClr val="accent2">
                <a:lumMod val="50000"/>
              </a:schemeClr>
            </a:solidFill>
          </a:endParaRPr>
        </a:p>
      </xdr:txBody>
    </xdr:sp>
    <xdr:clientData/>
  </xdr:twoCellAnchor>
  <xdr:twoCellAnchor>
    <xdr:from>
      <xdr:col>21</xdr:col>
      <xdr:colOff>450850</xdr:colOff>
      <xdr:row>16</xdr:row>
      <xdr:rowOff>19050</xdr:rowOff>
    </xdr:from>
    <xdr:to>
      <xdr:col>28</xdr:col>
      <xdr:colOff>260350</xdr:colOff>
      <xdr:row>30</xdr:row>
      <xdr:rowOff>82550</xdr:rowOff>
    </xdr:to>
    <xdr:sp macro="" textlink="">
      <xdr:nvSpPr>
        <xdr:cNvPr id="9" name="Rectangle: Rounded Corners 8">
          <a:extLst>
            <a:ext uri="{FF2B5EF4-FFF2-40B4-BE49-F238E27FC236}">
              <a16:creationId xmlns:a16="http://schemas.microsoft.com/office/drawing/2014/main" id="{A11DDC78-11A3-4198-AE5E-10EBC8E1CAB6}"/>
            </a:ext>
          </a:extLst>
        </xdr:cNvPr>
        <xdr:cNvSpPr/>
      </xdr:nvSpPr>
      <xdr:spPr>
        <a:xfrm>
          <a:off x="13252450" y="2965450"/>
          <a:ext cx="4076700" cy="2641600"/>
        </a:xfrm>
        <a:prstGeom prst="roundRect">
          <a:avLst>
            <a:gd name="adj" fmla="val 5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900">
              <a:solidFill>
                <a:schemeClr val="accent2">
                  <a:lumMod val="50000"/>
                </a:schemeClr>
              </a:solidFill>
            </a:rPr>
            <a:t>Sales trend across different dates</a:t>
          </a:r>
        </a:p>
        <a:p>
          <a:pPr algn="l"/>
          <a:r>
            <a:rPr lang="en-GB" sz="900" b="0">
              <a:solidFill>
                <a:schemeClr val="accent2">
                  <a:lumMod val="50000"/>
                </a:schemeClr>
              </a:solidFill>
            </a:rPr>
            <a:t>Observation</a:t>
          </a:r>
        </a:p>
        <a:p>
          <a:pPr algn="l"/>
          <a:r>
            <a:rPr lang="en-GB" sz="900" b="0">
              <a:solidFill>
                <a:schemeClr val="accent2">
                  <a:lumMod val="50000"/>
                </a:schemeClr>
              </a:solidFill>
            </a:rPr>
            <a:t>- We get to see that dates in both months that had highest</a:t>
          </a:r>
          <a:r>
            <a:rPr lang="en-GB" sz="900" b="0" baseline="0">
              <a:solidFill>
                <a:schemeClr val="accent2">
                  <a:lumMod val="50000"/>
                </a:schemeClr>
              </a:solidFill>
            </a:rPr>
            <a:t> sales: </a:t>
          </a:r>
        </a:p>
        <a:p>
          <a:pPr algn="l"/>
          <a:r>
            <a:rPr lang="en-GB" sz="900" b="0" baseline="0">
              <a:solidFill>
                <a:schemeClr val="accent2">
                  <a:lumMod val="50000"/>
                </a:schemeClr>
              </a:solidFill>
            </a:rPr>
            <a:t>on the 9th of Feb, they had revenue of $444.00</a:t>
          </a:r>
        </a:p>
        <a:p>
          <a:pPr algn="l"/>
          <a:r>
            <a:rPr lang="en-GB" sz="900" b="0" baseline="0">
              <a:solidFill>
                <a:schemeClr val="accent2">
                  <a:lumMod val="50000"/>
                </a:schemeClr>
              </a:solidFill>
            </a:rPr>
            <a:t>on the 26th of Feb, the revenue was at $405.00</a:t>
          </a:r>
        </a:p>
        <a:p>
          <a:pPr algn="l"/>
          <a:r>
            <a:rPr lang="en-GB" sz="900" b="0" baseline="0">
              <a:solidFill>
                <a:schemeClr val="accent2">
                  <a:lumMod val="50000"/>
                </a:schemeClr>
              </a:solidFill>
            </a:rPr>
            <a:t>- In march, the top 2 days are: </a:t>
          </a:r>
        </a:p>
        <a:p>
          <a:pPr algn="l"/>
          <a:r>
            <a:rPr lang="en-GB" sz="900" b="0" baseline="0">
              <a:solidFill>
                <a:schemeClr val="accent2">
                  <a:lumMod val="50000"/>
                </a:schemeClr>
              </a:solidFill>
            </a:rPr>
            <a:t>2nd of Mar at $306.00</a:t>
          </a:r>
        </a:p>
        <a:p>
          <a:pPr algn="l"/>
          <a:r>
            <a:rPr lang="en-GB" sz="900" b="0" baseline="0">
              <a:solidFill>
                <a:schemeClr val="accent2">
                  <a:lumMod val="50000"/>
                </a:schemeClr>
              </a:solidFill>
            </a:rPr>
            <a:t>15th of Mar at $280.00</a:t>
          </a:r>
        </a:p>
        <a:p>
          <a:pPr algn="l"/>
          <a:r>
            <a:rPr lang="en-GB" sz="900" b="0" baseline="0">
              <a:solidFill>
                <a:schemeClr val="accent2">
                  <a:lumMod val="50000"/>
                </a:schemeClr>
              </a:solidFill>
            </a:rPr>
            <a:t>- The day with the least performance was: 12th Feb at $27.00 </a:t>
          </a:r>
          <a:endParaRPr lang="en-GB" sz="900" b="0">
            <a:solidFill>
              <a:schemeClr val="accent2">
                <a:lumMod val="50000"/>
              </a:schemeClr>
            </a:solidFill>
          </a:endParaRPr>
        </a:p>
        <a:p>
          <a:pPr algn="l"/>
          <a:endParaRPr lang="en-GB" sz="900" b="0">
            <a:solidFill>
              <a:schemeClr val="accent2">
                <a:lumMod val="50000"/>
              </a:schemeClr>
            </a:solidFill>
          </a:endParaRPr>
        </a:p>
        <a:p>
          <a:pPr algn="l"/>
          <a:r>
            <a:rPr lang="en-GB" sz="900" b="0">
              <a:solidFill>
                <a:schemeClr val="accent2">
                  <a:lumMod val="50000"/>
                </a:schemeClr>
              </a:solidFill>
            </a:rPr>
            <a:t>Pre-insight</a:t>
          </a:r>
        </a:p>
        <a:p>
          <a:r>
            <a:rPr lang="en-GB" sz="900" b="0">
              <a:solidFill>
                <a:schemeClr val="accent2">
                  <a:lumMod val="50000"/>
                </a:schemeClr>
              </a:solidFill>
            </a:rPr>
            <a:t>- Sales performance varies significantly across dates, with certain days (e.g., 9th &amp; 26th Feb) showing unusually high spikes in revenue, suggesting possible special events, promotions, or higher customer turnout on those days.</a:t>
          </a:r>
        </a:p>
        <a:p>
          <a:r>
            <a:rPr lang="en-GB" sz="900" b="0">
              <a:solidFill>
                <a:schemeClr val="accent2">
                  <a:lumMod val="50000"/>
                </a:schemeClr>
              </a:solidFill>
            </a:rPr>
            <a:t>- The data suggests that sales are highly date-sensitive, possibly influenced by external factors (weekends, holidays, payday cycles, or events).</a:t>
          </a:r>
          <a:endParaRPr lang="en-NG" sz="900" b="0">
            <a:solidFill>
              <a:schemeClr val="accent2">
                <a:lumMod val="50000"/>
              </a:schemeClr>
            </a:solidFill>
          </a:endParaRPr>
        </a:p>
      </xdr:txBody>
    </xdr:sp>
    <xdr:clientData/>
  </xdr:twoCellAnchor>
  <xdr:twoCellAnchor>
    <xdr:from>
      <xdr:col>21</xdr:col>
      <xdr:colOff>463550</xdr:colOff>
      <xdr:row>1</xdr:row>
      <xdr:rowOff>6350</xdr:rowOff>
    </xdr:from>
    <xdr:to>
      <xdr:col>28</xdr:col>
      <xdr:colOff>349250</xdr:colOff>
      <xdr:row>14</xdr:row>
      <xdr:rowOff>171450</xdr:rowOff>
    </xdr:to>
    <xdr:sp macro="" textlink="">
      <xdr:nvSpPr>
        <xdr:cNvPr id="10" name="Rectangle: Rounded Corners 9">
          <a:extLst>
            <a:ext uri="{FF2B5EF4-FFF2-40B4-BE49-F238E27FC236}">
              <a16:creationId xmlns:a16="http://schemas.microsoft.com/office/drawing/2014/main" id="{DDAC1145-040F-46DD-AD55-B0297BCDF4F4}"/>
            </a:ext>
          </a:extLst>
        </xdr:cNvPr>
        <xdr:cNvSpPr/>
      </xdr:nvSpPr>
      <xdr:spPr>
        <a:xfrm>
          <a:off x="13265150" y="190500"/>
          <a:ext cx="4152900" cy="2559050"/>
        </a:xfrm>
        <a:prstGeom prst="roundRect">
          <a:avLst>
            <a:gd name="adj" fmla="val 5667"/>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900">
              <a:solidFill>
                <a:schemeClr val="bg1"/>
              </a:solidFill>
            </a:rPr>
            <a:t>Top hour by highest</a:t>
          </a:r>
          <a:r>
            <a:rPr lang="en-GB" sz="900" baseline="0">
              <a:solidFill>
                <a:schemeClr val="bg1"/>
              </a:solidFill>
            </a:rPr>
            <a:t> revenue</a:t>
          </a:r>
          <a:endParaRPr lang="en-GB" sz="900">
            <a:solidFill>
              <a:schemeClr val="bg1"/>
            </a:solidFill>
          </a:endParaRPr>
        </a:p>
        <a:p>
          <a:pPr algn="l"/>
          <a:r>
            <a:rPr lang="en-GB" sz="900">
              <a:solidFill>
                <a:schemeClr val="bg1"/>
              </a:solidFill>
            </a:rPr>
            <a:t>Observation</a:t>
          </a:r>
        </a:p>
        <a:p>
          <a:pPr algn="l"/>
          <a:r>
            <a:rPr lang="en-GB" sz="900">
              <a:solidFill>
                <a:schemeClr val="bg1"/>
              </a:solidFill>
            </a:rPr>
            <a:t>- The Top</a:t>
          </a:r>
          <a:r>
            <a:rPr lang="en-GB" sz="900" baseline="0">
              <a:solidFill>
                <a:schemeClr val="bg1"/>
              </a:solidFill>
            </a:rPr>
            <a:t> hour that shows traction when more customers pattronize the business is 18:01:22</a:t>
          </a:r>
          <a:r>
            <a:rPr lang="en-NG" sz="900"/>
            <a:t> </a:t>
          </a:r>
          <a:r>
            <a:rPr lang="en-GB" sz="900"/>
            <a:t>accruing </a:t>
          </a:r>
          <a:r>
            <a:rPr lang="en-NG" sz="900" b="0" i="0" u="none" strike="noStrike">
              <a:solidFill>
                <a:schemeClr val="lt1"/>
              </a:solidFill>
              <a:effectLst/>
              <a:latin typeface="+mn-lt"/>
              <a:ea typeface="+mn-ea"/>
              <a:cs typeface="+mn-cs"/>
            </a:rPr>
            <a:t>$73.00</a:t>
          </a:r>
          <a:r>
            <a:rPr lang="en-NG" sz="900"/>
            <a:t> </a:t>
          </a:r>
          <a:endParaRPr lang="en-GB" sz="900"/>
        </a:p>
        <a:p>
          <a:pPr algn="l"/>
          <a:r>
            <a:rPr lang="en-GB" sz="900" b="0" i="0" u="none" strike="noStrike">
              <a:solidFill>
                <a:schemeClr val="lt1"/>
              </a:solidFill>
              <a:effectLst/>
              <a:latin typeface="+mn-lt"/>
              <a:ea typeface="+mn-ea"/>
              <a:cs typeface="+mn-cs"/>
            </a:rPr>
            <a:t>- The next</a:t>
          </a:r>
          <a:r>
            <a:rPr lang="en-GB" sz="900" b="0" i="0" u="none" strike="noStrike" baseline="0">
              <a:solidFill>
                <a:schemeClr val="lt1"/>
              </a:solidFill>
              <a:effectLst/>
              <a:latin typeface="+mn-lt"/>
              <a:ea typeface="+mn-ea"/>
              <a:cs typeface="+mn-cs"/>
            </a:rPr>
            <a:t> best time is </a:t>
          </a:r>
          <a:r>
            <a:rPr lang="en-NG" sz="900" b="0" i="0" u="none" strike="noStrike">
              <a:solidFill>
                <a:schemeClr val="lt1"/>
              </a:solidFill>
              <a:effectLst/>
              <a:latin typeface="+mn-lt"/>
              <a:ea typeface="+mn-ea"/>
              <a:cs typeface="+mn-cs"/>
            </a:rPr>
            <a:t>18:38:38</a:t>
          </a:r>
          <a:r>
            <a:rPr lang="en-NG" sz="900"/>
            <a:t> </a:t>
          </a:r>
          <a:r>
            <a:rPr lang="en-GB" sz="900"/>
            <a:t>at </a:t>
          </a:r>
          <a:r>
            <a:rPr lang="en-NG" sz="900" b="0" i="0" u="none" strike="noStrike">
              <a:solidFill>
                <a:schemeClr val="lt1"/>
              </a:solidFill>
              <a:effectLst/>
              <a:latin typeface="+mn-lt"/>
              <a:ea typeface="+mn-ea"/>
              <a:cs typeface="+mn-cs"/>
            </a:rPr>
            <a:t>$58.00</a:t>
          </a:r>
          <a:r>
            <a:rPr lang="en-NG" sz="900"/>
            <a:t> </a:t>
          </a:r>
          <a:endParaRPr lang="en-GB" sz="900"/>
        </a:p>
        <a:p>
          <a:pPr algn="l"/>
          <a:r>
            <a:rPr lang="en-GB" sz="900" b="0" i="0" u="none" strike="noStrike">
              <a:solidFill>
                <a:schemeClr val="lt1"/>
              </a:solidFill>
              <a:effectLst/>
              <a:latin typeface="+mn-lt"/>
              <a:ea typeface="+mn-ea"/>
              <a:cs typeface="+mn-cs"/>
            </a:rPr>
            <a:t>- They also experience midday transactions </a:t>
          </a:r>
          <a:r>
            <a:rPr lang="en-NG" sz="900" b="0" i="0" u="none" strike="noStrike">
              <a:solidFill>
                <a:schemeClr val="lt1"/>
              </a:solidFill>
              <a:effectLst/>
              <a:latin typeface="+mn-lt"/>
              <a:ea typeface="+mn-ea"/>
              <a:cs typeface="+mn-cs"/>
            </a:rPr>
            <a:t>12:48:05</a:t>
          </a:r>
          <a:r>
            <a:rPr lang="en-NG" sz="900"/>
            <a:t> </a:t>
          </a:r>
          <a:r>
            <a:rPr lang="en-GB" sz="900"/>
            <a:t>at </a:t>
          </a:r>
          <a:r>
            <a:rPr lang="en-NG" sz="900" b="0" i="0" u="none" strike="noStrike">
              <a:solidFill>
                <a:schemeClr val="lt1"/>
              </a:solidFill>
              <a:effectLst/>
              <a:latin typeface="+mn-lt"/>
              <a:ea typeface="+mn-ea"/>
              <a:cs typeface="+mn-cs"/>
            </a:rPr>
            <a:t>$58.00</a:t>
          </a:r>
          <a:r>
            <a:rPr lang="en-GB" sz="900" b="0" i="0" u="none" strike="noStrike">
              <a:solidFill>
                <a:schemeClr val="lt1"/>
              </a:solidFill>
              <a:effectLst/>
              <a:latin typeface="+mn-lt"/>
              <a:ea typeface="+mn-ea"/>
              <a:cs typeface="+mn-cs"/>
            </a:rPr>
            <a:t>, which can be linked to break/lunch</a:t>
          </a:r>
          <a:r>
            <a:rPr lang="en-GB" sz="900" b="0" i="0" u="none" strike="noStrike" baseline="0">
              <a:solidFill>
                <a:schemeClr val="lt1"/>
              </a:solidFill>
              <a:effectLst/>
              <a:latin typeface="+mn-lt"/>
              <a:ea typeface="+mn-ea"/>
              <a:cs typeface="+mn-cs"/>
            </a:rPr>
            <a:t> time</a:t>
          </a:r>
          <a:r>
            <a:rPr lang="en-NG" sz="900"/>
            <a:t> </a:t>
          </a:r>
          <a:endParaRPr lang="en-GB" sz="900"/>
        </a:p>
        <a:p>
          <a:pPr algn="l"/>
          <a:r>
            <a:rPr lang="en-GB" sz="900" b="0" i="0" u="none" strike="noStrike">
              <a:solidFill>
                <a:schemeClr val="lt1"/>
              </a:solidFill>
              <a:effectLst/>
              <a:latin typeface="+mn-lt"/>
              <a:ea typeface="+mn-ea"/>
              <a:cs typeface="+mn-cs"/>
            </a:rPr>
            <a:t>-</a:t>
          </a:r>
          <a:r>
            <a:rPr lang="en-GB" sz="900" b="0" i="0" u="none" strike="noStrike" baseline="0">
              <a:solidFill>
                <a:schemeClr val="lt1"/>
              </a:solidFill>
              <a:effectLst/>
              <a:latin typeface="+mn-lt"/>
              <a:ea typeface="+mn-ea"/>
              <a:cs typeface="+mn-cs"/>
            </a:rPr>
            <a:t> The top morning time is </a:t>
          </a:r>
          <a:r>
            <a:rPr lang="en-NG" sz="900" b="0" i="0" u="none" strike="noStrike">
              <a:solidFill>
                <a:schemeClr val="lt1"/>
              </a:solidFill>
              <a:effectLst/>
              <a:latin typeface="+mn-lt"/>
              <a:ea typeface="+mn-ea"/>
              <a:cs typeface="+mn-cs"/>
            </a:rPr>
            <a:t>09:41:12</a:t>
          </a:r>
          <a:r>
            <a:rPr lang="en-NG" sz="900"/>
            <a:t> </a:t>
          </a:r>
          <a:r>
            <a:rPr lang="en-GB" sz="900"/>
            <a:t>at </a:t>
          </a:r>
          <a:r>
            <a:rPr lang="en-NG" sz="900" b="0" i="0" u="none" strike="noStrike">
              <a:solidFill>
                <a:schemeClr val="lt1"/>
              </a:solidFill>
              <a:effectLst/>
              <a:latin typeface="+mn-lt"/>
              <a:ea typeface="+mn-ea"/>
              <a:cs typeface="+mn-cs"/>
            </a:rPr>
            <a:t>$50.00</a:t>
          </a:r>
          <a:r>
            <a:rPr lang="en-GB" sz="900" b="0" i="0" u="none" strike="noStrike">
              <a:solidFill>
                <a:schemeClr val="lt1"/>
              </a:solidFill>
              <a:effectLst/>
              <a:latin typeface="+mn-lt"/>
              <a:ea typeface="+mn-ea"/>
              <a:cs typeface="+mn-cs"/>
            </a:rPr>
            <a:t> and</a:t>
          </a:r>
          <a:r>
            <a:rPr lang="en-NG" sz="900"/>
            <a:t> </a:t>
          </a:r>
          <a:r>
            <a:rPr lang="en-NG" sz="900" b="0" i="0" u="none" strike="noStrike">
              <a:solidFill>
                <a:schemeClr val="lt1"/>
              </a:solidFill>
              <a:effectLst/>
              <a:latin typeface="+mn-lt"/>
              <a:ea typeface="+mn-ea"/>
              <a:cs typeface="+mn-cs"/>
            </a:rPr>
            <a:t>10:25:48</a:t>
          </a:r>
          <a:r>
            <a:rPr lang="en-GB" sz="900" b="0" i="0" u="none" strike="noStrike">
              <a:solidFill>
                <a:schemeClr val="lt1"/>
              </a:solidFill>
              <a:effectLst/>
              <a:latin typeface="+mn-lt"/>
              <a:ea typeface="+mn-ea"/>
              <a:cs typeface="+mn-cs"/>
            </a:rPr>
            <a:t> at</a:t>
          </a:r>
          <a:r>
            <a:rPr lang="en-NG" sz="900"/>
            <a:t> </a:t>
          </a:r>
          <a:r>
            <a:rPr lang="en-NG" sz="900" b="0" i="0" u="none" strike="noStrike">
              <a:solidFill>
                <a:schemeClr val="lt1"/>
              </a:solidFill>
              <a:effectLst/>
              <a:latin typeface="+mn-lt"/>
              <a:ea typeface="+mn-ea"/>
              <a:cs typeface="+mn-cs"/>
            </a:rPr>
            <a:t>$50.00</a:t>
          </a:r>
          <a:r>
            <a:rPr lang="en-NG" sz="900"/>
            <a:t> </a:t>
          </a:r>
          <a:endParaRPr lang="en-GB" sz="900"/>
        </a:p>
        <a:p>
          <a:pPr algn="l"/>
          <a:r>
            <a:rPr lang="en-GB" sz="900" b="0" i="0" u="none" strike="noStrike">
              <a:solidFill>
                <a:schemeClr val="lt1"/>
              </a:solidFill>
              <a:effectLst/>
              <a:latin typeface="+mn-lt"/>
              <a:ea typeface="+mn-ea"/>
              <a:cs typeface="+mn-cs"/>
            </a:rPr>
            <a:t>-</a:t>
          </a:r>
          <a:r>
            <a:rPr lang="en-GB" sz="900" b="0" i="0" u="none" strike="noStrike" baseline="0">
              <a:solidFill>
                <a:schemeClr val="lt1"/>
              </a:solidFill>
              <a:effectLst/>
              <a:latin typeface="+mn-lt"/>
              <a:ea typeface="+mn-ea"/>
              <a:cs typeface="+mn-cs"/>
            </a:rPr>
            <a:t> Then almost close of business time </a:t>
          </a:r>
          <a:r>
            <a:rPr lang="en-NG" sz="900" b="0" i="0" u="none" strike="noStrike">
              <a:solidFill>
                <a:schemeClr val="lt1"/>
              </a:solidFill>
              <a:effectLst/>
              <a:latin typeface="+mn-lt"/>
              <a:ea typeface="+mn-ea"/>
              <a:cs typeface="+mn-cs"/>
            </a:rPr>
            <a:t>15:42:11</a:t>
          </a:r>
          <a:r>
            <a:rPr lang="en-GB" sz="900" b="0" i="0" u="none" strike="noStrike">
              <a:solidFill>
                <a:schemeClr val="lt1"/>
              </a:solidFill>
              <a:effectLst/>
              <a:latin typeface="+mn-lt"/>
              <a:ea typeface="+mn-ea"/>
              <a:cs typeface="+mn-cs"/>
            </a:rPr>
            <a:t> at</a:t>
          </a:r>
          <a:r>
            <a:rPr lang="en-NG" sz="900"/>
            <a:t> </a:t>
          </a:r>
          <a:r>
            <a:rPr lang="en-NG" sz="900" b="0" i="0" u="none" strike="noStrike">
              <a:solidFill>
                <a:schemeClr val="lt1"/>
              </a:solidFill>
              <a:effectLst/>
              <a:latin typeface="+mn-lt"/>
              <a:ea typeface="+mn-ea"/>
              <a:cs typeface="+mn-cs"/>
            </a:rPr>
            <a:t>$50.00</a:t>
          </a:r>
          <a:r>
            <a:rPr lang="en-NG" sz="900"/>
            <a:t> </a:t>
          </a:r>
          <a:endParaRPr lang="en-GB" sz="900"/>
        </a:p>
        <a:p>
          <a:pPr algn="l"/>
          <a:r>
            <a:rPr lang="en-GB" sz="900">
              <a:solidFill>
                <a:schemeClr val="bg1"/>
              </a:solidFill>
            </a:rPr>
            <a:t>- Other time stamp had</a:t>
          </a:r>
          <a:r>
            <a:rPr lang="en-GB" sz="900" baseline="0">
              <a:solidFill>
                <a:schemeClr val="bg1"/>
              </a:solidFill>
            </a:rPr>
            <a:t> revenue below $50.00, using it as bench mark</a:t>
          </a:r>
          <a:endParaRPr lang="en-GB" sz="900">
            <a:solidFill>
              <a:schemeClr val="bg1"/>
            </a:solidFill>
          </a:endParaRPr>
        </a:p>
        <a:p>
          <a:pPr algn="l"/>
          <a:endParaRPr lang="en-GB" sz="900">
            <a:solidFill>
              <a:schemeClr val="bg1"/>
            </a:solidFill>
          </a:endParaRPr>
        </a:p>
        <a:p>
          <a:pPr algn="l"/>
          <a:r>
            <a:rPr lang="en-GB" sz="900">
              <a:solidFill>
                <a:schemeClr val="bg1"/>
              </a:solidFill>
            </a:rPr>
            <a:t>Pre-insight</a:t>
          </a:r>
        </a:p>
        <a:p>
          <a:r>
            <a:rPr lang="en-GB" sz="900" b="0">
              <a:solidFill>
                <a:schemeClr val="bg1"/>
              </a:solidFill>
            </a:rPr>
            <a:t>- Dual Peak Structure</a:t>
          </a:r>
          <a:r>
            <a:rPr lang="en-GB" sz="900" b="0" baseline="0">
              <a:solidFill>
                <a:schemeClr val="bg1"/>
              </a:solidFill>
            </a:rPr>
            <a:t> - </a:t>
          </a:r>
          <a:r>
            <a:rPr lang="en-GB" sz="900" b="0">
              <a:solidFill>
                <a:schemeClr val="bg1"/>
              </a:solidFill>
            </a:rPr>
            <a:t>The business experiences two main demand peaks:</a:t>
          </a:r>
          <a:r>
            <a:rPr lang="en-GB" sz="900" b="0" baseline="0">
              <a:solidFill>
                <a:schemeClr val="bg1"/>
              </a:solidFill>
            </a:rPr>
            <a:t> </a:t>
          </a:r>
          <a:r>
            <a:rPr lang="en-GB" sz="900" b="0">
              <a:solidFill>
                <a:schemeClr val="bg1"/>
              </a:solidFill>
            </a:rPr>
            <a:t>Morning–Midday (09:00–13:00),</a:t>
          </a:r>
          <a:r>
            <a:rPr lang="en-GB" sz="900" b="0" baseline="0">
              <a:solidFill>
                <a:schemeClr val="bg1"/>
              </a:solidFill>
            </a:rPr>
            <a:t> </a:t>
          </a:r>
          <a:r>
            <a:rPr lang="en-GB" sz="900" b="0">
              <a:solidFill>
                <a:schemeClr val="bg1"/>
              </a:solidFill>
            </a:rPr>
            <a:t>Evening (18:00 onward)</a:t>
          </a:r>
        </a:p>
        <a:p>
          <a:r>
            <a:rPr lang="en-GB" sz="900" b="0">
              <a:solidFill>
                <a:schemeClr val="bg1"/>
              </a:solidFill>
            </a:rPr>
            <a:t>- Strategic Scheduling Implication</a:t>
          </a:r>
          <a:r>
            <a:rPr lang="en-GB" sz="900" b="0" baseline="0">
              <a:solidFill>
                <a:schemeClr val="bg1"/>
              </a:solidFill>
            </a:rPr>
            <a:t> - </a:t>
          </a:r>
          <a:r>
            <a:rPr lang="en-GB" sz="900" b="0">
              <a:solidFill>
                <a:schemeClr val="bg1"/>
              </a:solidFill>
            </a:rPr>
            <a:t>Staff and inventory allocation should be heavier during peak hours, particularly mornings, lunch, and evenings, while quieter periods can be optimized with smaller staff or promotions.</a:t>
          </a:r>
        </a:p>
        <a:p>
          <a:endParaRPr lang="en-GB" sz="900" b="0">
            <a:solidFill>
              <a:schemeClr val="bg1"/>
            </a:solidFill>
          </a:endParaRPr>
        </a:p>
        <a:p>
          <a:endParaRPr lang="en-GB" sz="900" b="0">
            <a:solidFill>
              <a:schemeClr val="bg1"/>
            </a:solidFill>
          </a:endParaRPr>
        </a:p>
        <a:p>
          <a:pPr algn="l"/>
          <a:endParaRPr lang="en-NG" sz="900">
            <a:solidFill>
              <a:schemeClr val="bg1"/>
            </a:solidFill>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863600</xdr:colOff>
      <xdr:row>2</xdr:row>
      <xdr:rowOff>47625</xdr:rowOff>
    </xdr:from>
    <xdr:to>
      <xdr:col>7</xdr:col>
      <xdr:colOff>1244600</xdr:colOff>
      <xdr:row>17</xdr:row>
      <xdr:rowOff>28575</xdr:rowOff>
    </xdr:to>
    <xdr:graphicFrame macro="">
      <xdr:nvGraphicFramePr>
        <xdr:cNvPr id="2" name="Chart 1">
          <a:extLst>
            <a:ext uri="{FF2B5EF4-FFF2-40B4-BE49-F238E27FC236}">
              <a16:creationId xmlns:a16="http://schemas.microsoft.com/office/drawing/2014/main" id="{C0E66FAB-7857-482B-B67B-6C17A5D62E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120650</xdr:colOff>
      <xdr:row>0</xdr:row>
      <xdr:rowOff>114300</xdr:rowOff>
    </xdr:from>
    <xdr:to>
      <xdr:col>7</xdr:col>
      <xdr:colOff>6350</xdr:colOff>
      <xdr:row>14</xdr:row>
      <xdr:rowOff>95250</xdr:rowOff>
    </xdr:to>
    <xdr:sp macro="" textlink="">
      <xdr:nvSpPr>
        <xdr:cNvPr id="2" name="Rectangle: Rounded Corners 1">
          <a:extLst>
            <a:ext uri="{FF2B5EF4-FFF2-40B4-BE49-F238E27FC236}">
              <a16:creationId xmlns:a16="http://schemas.microsoft.com/office/drawing/2014/main" id="{59AC8F82-1895-4647-9828-13B35B637749}"/>
            </a:ext>
          </a:extLst>
        </xdr:cNvPr>
        <xdr:cNvSpPr/>
      </xdr:nvSpPr>
      <xdr:spPr>
        <a:xfrm>
          <a:off x="120650" y="114300"/>
          <a:ext cx="4152900" cy="2559050"/>
        </a:xfrm>
        <a:prstGeom prst="roundRect">
          <a:avLst>
            <a:gd name="adj" fmla="val 5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chemeClr val="accent2">
                  <a:lumMod val="50000"/>
                </a:schemeClr>
              </a:solidFill>
            </a:rPr>
            <a:t>PROJECT SPLIT</a:t>
          </a:r>
        </a:p>
        <a:p>
          <a:pPr algn="ctr"/>
          <a:endParaRPr lang="en-GB" sz="1000">
            <a:solidFill>
              <a:schemeClr val="accent2">
                <a:lumMod val="50000"/>
              </a:schemeClr>
            </a:solidFill>
          </a:endParaRPr>
        </a:p>
        <a:p>
          <a:pPr algn="l"/>
          <a:r>
            <a:rPr lang="en-GB" sz="1000">
              <a:solidFill>
                <a:schemeClr val="accent2">
                  <a:lumMod val="50000"/>
                </a:schemeClr>
              </a:solidFill>
            </a:rPr>
            <a:t>Category</a:t>
          </a:r>
          <a:r>
            <a:rPr lang="en-GB" sz="1000" baseline="0">
              <a:solidFill>
                <a:schemeClr val="accent2">
                  <a:lumMod val="50000"/>
                </a:schemeClr>
              </a:solidFill>
            </a:rPr>
            <a:t> one - Independent variable</a:t>
          </a:r>
        </a:p>
        <a:p>
          <a:pPr algn="l"/>
          <a:r>
            <a:rPr lang="en-GB" sz="1000" baseline="0">
              <a:solidFill>
                <a:schemeClr val="accent2">
                  <a:lumMod val="50000"/>
                </a:schemeClr>
              </a:solidFill>
            </a:rPr>
            <a:t>Date</a:t>
          </a:r>
        </a:p>
        <a:p>
          <a:pPr algn="l"/>
          <a:r>
            <a:rPr lang="en-GB" sz="1000" baseline="0">
              <a:solidFill>
                <a:schemeClr val="accent2">
                  <a:lumMod val="50000"/>
                </a:schemeClr>
              </a:solidFill>
            </a:rPr>
            <a:t>Cash_type</a:t>
          </a:r>
        </a:p>
        <a:p>
          <a:pPr algn="l"/>
          <a:r>
            <a:rPr lang="en-GB" sz="1000" baseline="0">
              <a:solidFill>
                <a:schemeClr val="accent2">
                  <a:lumMod val="50000"/>
                </a:schemeClr>
              </a:solidFill>
            </a:rPr>
            <a:t>Coffee_name</a:t>
          </a:r>
        </a:p>
        <a:p>
          <a:pPr algn="l"/>
          <a:r>
            <a:rPr lang="en-GB" sz="1000" baseline="0">
              <a:solidFill>
                <a:schemeClr val="accent2">
                  <a:lumMod val="50000"/>
                </a:schemeClr>
              </a:solidFill>
            </a:rPr>
            <a:t>Day of week</a:t>
          </a:r>
        </a:p>
        <a:p>
          <a:pPr algn="l"/>
          <a:r>
            <a:rPr lang="en-GB" sz="1000" baseline="0">
              <a:solidFill>
                <a:schemeClr val="accent2">
                  <a:lumMod val="50000"/>
                </a:schemeClr>
              </a:solidFill>
            </a:rPr>
            <a:t>Month</a:t>
          </a:r>
        </a:p>
        <a:p>
          <a:pPr algn="l"/>
          <a:endParaRPr lang="en-GB" sz="1000" baseline="0">
            <a:solidFill>
              <a:schemeClr val="accent2">
                <a:lumMod val="50000"/>
              </a:schemeClr>
            </a:solidFill>
          </a:endParaRPr>
        </a:p>
        <a:p>
          <a:pPr algn="l"/>
          <a:endParaRPr lang="en-GB" sz="1000" baseline="0">
            <a:solidFill>
              <a:schemeClr val="accent2">
                <a:lumMod val="50000"/>
              </a:schemeClr>
            </a:solidFill>
          </a:endParaRPr>
        </a:p>
        <a:p>
          <a:pPr algn="l"/>
          <a:r>
            <a:rPr lang="en-GB" sz="1000" baseline="0">
              <a:solidFill>
                <a:schemeClr val="accent2">
                  <a:lumMod val="50000"/>
                </a:schemeClr>
              </a:solidFill>
            </a:rPr>
            <a:t>Category two - Dependent variable</a:t>
          </a:r>
        </a:p>
        <a:p>
          <a:pPr algn="l"/>
          <a:r>
            <a:rPr lang="en-GB" sz="1000" baseline="0">
              <a:solidFill>
                <a:schemeClr val="accent2">
                  <a:lumMod val="50000"/>
                </a:schemeClr>
              </a:solidFill>
            </a:rPr>
            <a:t>Money</a:t>
          </a:r>
        </a:p>
        <a:p>
          <a:pPr algn="l"/>
          <a:r>
            <a:rPr lang="en-GB" sz="1000" baseline="0">
              <a:solidFill>
                <a:schemeClr val="accent2">
                  <a:lumMod val="50000"/>
                </a:schemeClr>
              </a:solidFill>
            </a:rPr>
            <a:t>Time of day</a:t>
          </a:r>
          <a:endParaRPr lang="en-NG" sz="1000">
            <a:solidFill>
              <a:schemeClr val="accent2">
                <a:lumMod val="50000"/>
              </a:schemeClr>
            </a:solidFill>
          </a:endParaRPr>
        </a:p>
      </xdr:txBody>
    </xdr:sp>
    <xdr:clientData/>
  </xdr:twoCellAnchor>
  <xdr:twoCellAnchor>
    <xdr:from>
      <xdr:col>9</xdr:col>
      <xdr:colOff>12700</xdr:colOff>
      <xdr:row>15</xdr:row>
      <xdr:rowOff>101600</xdr:rowOff>
    </xdr:from>
    <xdr:to>
      <xdr:col>15</xdr:col>
      <xdr:colOff>501650</xdr:colOff>
      <xdr:row>31</xdr:row>
      <xdr:rowOff>12700</xdr:rowOff>
    </xdr:to>
    <xdr:sp macro="" textlink="">
      <xdr:nvSpPr>
        <xdr:cNvPr id="3" name="Rectangle: Rounded Corners 2">
          <a:extLst>
            <a:ext uri="{FF2B5EF4-FFF2-40B4-BE49-F238E27FC236}">
              <a16:creationId xmlns:a16="http://schemas.microsoft.com/office/drawing/2014/main" id="{562B08AE-77DB-4DD6-8407-E82B7F965765}"/>
            </a:ext>
          </a:extLst>
        </xdr:cNvPr>
        <xdr:cNvSpPr/>
      </xdr:nvSpPr>
      <xdr:spPr>
        <a:xfrm>
          <a:off x="5499100" y="2863850"/>
          <a:ext cx="4146550" cy="2857500"/>
        </a:xfrm>
        <a:prstGeom prst="roundRect">
          <a:avLst>
            <a:gd name="adj" fmla="val 5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chemeClr val="accent2">
                  <a:lumMod val="50000"/>
                </a:schemeClr>
              </a:solidFill>
            </a:rPr>
            <a:t>INDUSTRY TYPE</a:t>
          </a:r>
        </a:p>
        <a:p>
          <a:pPr algn="l"/>
          <a:r>
            <a:rPr lang="en-GB" sz="1000">
              <a:solidFill>
                <a:schemeClr val="accent2">
                  <a:lumMod val="50000"/>
                </a:schemeClr>
              </a:solidFill>
            </a:rPr>
            <a:t>Beverage</a:t>
          </a:r>
          <a:r>
            <a:rPr lang="en-GB" sz="1000" baseline="0">
              <a:solidFill>
                <a:schemeClr val="accent2">
                  <a:lumMod val="50000"/>
                </a:schemeClr>
              </a:solidFill>
            </a:rPr>
            <a:t> company specifically a retail outlet</a:t>
          </a:r>
        </a:p>
        <a:p>
          <a:pPr algn="l"/>
          <a:endParaRPr lang="en-GB" sz="1000" baseline="0">
            <a:solidFill>
              <a:schemeClr val="accent2">
                <a:lumMod val="50000"/>
              </a:schemeClr>
            </a:solidFill>
          </a:endParaRPr>
        </a:p>
        <a:p>
          <a:pPr algn="ctr"/>
          <a:r>
            <a:rPr lang="en-GB" sz="1000" b="0">
              <a:solidFill>
                <a:schemeClr val="accent2">
                  <a:lumMod val="50000"/>
                </a:schemeClr>
              </a:solidFill>
              <a:effectLst/>
              <a:latin typeface="+mn-lt"/>
              <a:ea typeface="+mn-ea"/>
              <a:cs typeface="+mn-cs"/>
            </a:rPr>
            <a:t>DATA STORY</a:t>
          </a:r>
          <a:endParaRPr lang="en-NG" sz="1000" b="0">
            <a:solidFill>
              <a:schemeClr val="accent2">
                <a:lumMod val="50000"/>
              </a:schemeClr>
            </a:solidFill>
            <a:effectLst/>
          </a:endParaRPr>
        </a:p>
        <a:p>
          <a:r>
            <a:rPr lang="en-GB" sz="1000" b="0">
              <a:solidFill>
                <a:schemeClr val="accent2">
                  <a:lumMod val="50000"/>
                </a:schemeClr>
              </a:solidFill>
              <a:effectLst/>
              <a:latin typeface="+mn-lt"/>
              <a:ea typeface="+mn-ea"/>
              <a:cs typeface="+mn-cs"/>
            </a:rPr>
            <a:t>This dataset comes from the Beverage industry, covering sales and distribution of beverages. It includes details on coffee type</a:t>
          </a:r>
          <a:r>
            <a:rPr lang="en-GB" sz="1000" b="0" baseline="0">
              <a:solidFill>
                <a:schemeClr val="accent2">
                  <a:lumMod val="50000"/>
                </a:schemeClr>
              </a:solidFill>
              <a:effectLst/>
              <a:latin typeface="+mn-lt"/>
              <a:ea typeface="+mn-ea"/>
              <a:cs typeface="+mn-cs"/>
            </a:rPr>
            <a:t> and</a:t>
          </a:r>
          <a:r>
            <a:rPr lang="en-GB" sz="1000" b="0">
              <a:solidFill>
                <a:schemeClr val="accent2">
                  <a:lumMod val="50000"/>
                </a:schemeClr>
              </a:solidFill>
              <a:effectLst/>
              <a:latin typeface="+mn-lt"/>
              <a:ea typeface="+mn-ea"/>
              <a:cs typeface="+mn-cs"/>
            </a:rPr>
            <a:t> sales transactions. Stakeholders can use it to analyze revenue trends,</a:t>
          </a:r>
          <a:r>
            <a:rPr lang="en-GB" sz="1000" b="0" baseline="0">
              <a:solidFill>
                <a:schemeClr val="accent2">
                  <a:lumMod val="50000"/>
                </a:schemeClr>
              </a:solidFill>
              <a:effectLst/>
              <a:latin typeface="+mn-lt"/>
              <a:ea typeface="+mn-ea"/>
              <a:cs typeface="+mn-cs"/>
            </a:rPr>
            <a:t> </a:t>
          </a:r>
          <a:r>
            <a:rPr lang="en-GB" sz="1000" b="0">
              <a:solidFill>
                <a:schemeClr val="accent2">
                  <a:lumMod val="50000"/>
                </a:schemeClr>
              </a:solidFill>
              <a:effectLst/>
              <a:latin typeface="+mn-lt"/>
              <a:ea typeface="+mn-ea"/>
              <a:cs typeface="+mn-cs"/>
            </a:rPr>
            <a:t>customer behavior in respect to coffee type.</a:t>
          </a:r>
        </a:p>
        <a:p>
          <a:endParaRPr lang="en-NG" sz="1000" b="0">
            <a:solidFill>
              <a:schemeClr val="accent2">
                <a:lumMod val="50000"/>
              </a:schemeClr>
            </a:solidFill>
            <a:effectLst/>
          </a:endParaRPr>
        </a:p>
        <a:p>
          <a:pPr algn="ctr"/>
          <a:r>
            <a:rPr lang="en-GB" sz="1000" b="0">
              <a:solidFill>
                <a:schemeClr val="accent2">
                  <a:lumMod val="50000"/>
                </a:schemeClr>
              </a:solidFill>
              <a:effectLst/>
              <a:latin typeface="+mn-lt"/>
              <a:ea typeface="+mn-ea"/>
              <a:cs typeface="+mn-cs"/>
            </a:rPr>
            <a:t>STAKEHOLDERS OF PROJECT</a:t>
          </a:r>
          <a:endParaRPr lang="en-NG" sz="1000" b="0">
            <a:solidFill>
              <a:schemeClr val="accent2">
                <a:lumMod val="50000"/>
              </a:schemeClr>
            </a:solidFill>
            <a:effectLst/>
          </a:endParaRPr>
        </a:p>
        <a:p>
          <a:r>
            <a:rPr lang="en-GB" sz="1000" b="0">
              <a:solidFill>
                <a:schemeClr val="accent2">
                  <a:lumMod val="50000"/>
                </a:schemeClr>
              </a:solidFill>
              <a:effectLst/>
              <a:latin typeface="+mn-lt"/>
              <a:ea typeface="+mn-ea"/>
              <a:cs typeface="+mn-cs"/>
            </a:rPr>
            <a:t>Sales managers </a:t>
          </a:r>
          <a:endParaRPr lang="en-NG" sz="1000" b="0">
            <a:solidFill>
              <a:schemeClr val="accent2">
                <a:lumMod val="50000"/>
              </a:schemeClr>
            </a:solidFill>
            <a:effectLst/>
          </a:endParaRPr>
        </a:p>
        <a:p>
          <a:r>
            <a:rPr lang="en-GB" sz="1000" b="0">
              <a:solidFill>
                <a:schemeClr val="accent2">
                  <a:lumMod val="50000"/>
                </a:schemeClr>
              </a:solidFill>
              <a:effectLst/>
              <a:latin typeface="+mn-lt"/>
              <a:ea typeface="+mn-ea"/>
              <a:cs typeface="+mn-cs"/>
            </a:rPr>
            <a:t>Marketing analysts </a:t>
          </a:r>
          <a:endParaRPr lang="en-NG" sz="1000" b="0">
            <a:solidFill>
              <a:schemeClr val="accent2">
                <a:lumMod val="50000"/>
              </a:schemeClr>
            </a:solidFill>
            <a:effectLst/>
          </a:endParaRPr>
        </a:p>
        <a:p>
          <a:r>
            <a:rPr lang="en-GB" sz="1000" b="0">
              <a:solidFill>
                <a:schemeClr val="accent2">
                  <a:lumMod val="50000"/>
                </a:schemeClr>
              </a:solidFill>
              <a:effectLst/>
              <a:latin typeface="+mn-lt"/>
              <a:ea typeface="+mn-ea"/>
              <a:cs typeface="+mn-cs"/>
            </a:rPr>
            <a:t>Executives </a:t>
          </a:r>
          <a:endParaRPr lang="en-NG" sz="1000" b="0">
            <a:solidFill>
              <a:schemeClr val="accent2">
                <a:lumMod val="50000"/>
              </a:schemeClr>
            </a:solidFill>
            <a:effectLst/>
          </a:endParaRPr>
        </a:p>
        <a:p>
          <a:pPr algn="ctr"/>
          <a:r>
            <a:rPr lang="en-GB" sz="1000" b="0">
              <a:solidFill>
                <a:schemeClr val="accent2">
                  <a:lumMod val="50000"/>
                </a:schemeClr>
              </a:solidFill>
              <a:effectLst/>
              <a:latin typeface="+mn-lt"/>
              <a:ea typeface="+mn-ea"/>
              <a:cs typeface="+mn-cs"/>
            </a:rPr>
            <a:t>DEFINITION</a:t>
          </a:r>
          <a:r>
            <a:rPr lang="en-GB" sz="1000" b="0" baseline="0">
              <a:solidFill>
                <a:schemeClr val="accent2">
                  <a:lumMod val="50000"/>
                </a:schemeClr>
              </a:solidFill>
              <a:effectLst/>
              <a:latin typeface="+mn-lt"/>
              <a:ea typeface="+mn-ea"/>
              <a:cs typeface="+mn-cs"/>
            </a:rPr>
            <a:t> OF SUCCESS</a:t>
          </a:r>
          <a:endParaRPr lang="en-NG" sz="1000" b="0">
            <a:solidFill>
              <a:schemeClr val="accent2">
                <a:lumMod val="50000"/>
              </a:schemeClr>
            </a:solidFill>
            <a:effectLst/>
          </a:endParaRPr>
        </a:p>
        <a:p>
          <a:r>
            <a:rPr lang="en-GB" sz="1000" b="0">
              <a:solidFill>
                <a:schemeClr val="accent2">
                  <a:lumMod val="50000"/>
                </a:schemeClr>
              </a:solidFill>
              <a:effectLst/>
              <a:latin typeface="+mn-lt"/>
              <a:ea typeface="+mn-ea"/>
              <a:cs typeface="+mn-cs"/>
            </a:rPr>
            <a:t>1.</a:t>
          </a:r>
          <a:r>
            <a:rPr lang="en-GB" sz="1000" b="0" baseline="0">
              <a:solidFill>
                <a:schemeClr val="accent2">
                  <a:lumMod val="50000"/>
                </a:schemeClr>
              </a:solidFill>
              <a:effectLst/>
              <a:latin typeface="+mn-lt"/>
              <a:ea typeface="+mn-ea"/>
              <a:cs typeface="+mn-cs"/>
            </a:rPr>
            <a:t> </a:t>
          </a:r>
          <a:r>
            <a:rPr lang="en-GB" sz="1000" b="0">
              <a:solidFill>
                <a:schemeClr val="accent2">
                  <a:lumMod val="50000"/>
                </a:schemeClr>
              </a:solidFill>
              <a:effectLst/>
              <a:latin typeface="+mn-lt"/>
              <a:ea typeface="+mn-ea"/>
              <a:cs typeface="+mn-cs"/>
            </a:rPr>
            <a:t>High Revenue Generation</a:t>
          </a:r>
          <a:endParaRPr lang="en-NG" sz="1000" b="0">
            <a:solidFill>
              <a:schemeClr val="accent2">
                <a:lumMod val="50000"/>
              </a:schemeClr>
            </a:solidFill>
            <a:effectLst/>
          </a:endParaRPr>
        </a:p>
        <a:p>
          <a:r>
            <a:rPr lang="en-GB" sz="1000" b="0">
              <a:solidFill>
                <a:schemeClr val="accent2">
                  <a:lumMod val="50000"/>
                </a:schemeClr>
              </a:solidFill>
              <a:effectLst/>
              <a:latin typeface="+mn-lt"/>
              <a:ea typeface="+mn-ea"/>
              <a:cs typeface="+mn-cs"/>
            </a:rPr>
            <a:t>2. Efficient Order Fulfillment</a:t>
          </a:r>
          <a:endParaRPr lang="en-NG" sz="1000" b="0">
            <a:solidFill>
              <a:schemeClr val="accent2">
                <a:lumMod val="50000"/>
              </a:schemeClr>
            </a:solidFill>
            <a:effectLst/>
          </a:endParaRPr>
        </a:p>
        <a:p>
          <a:r>
            <a:rPr lang="en-GB" sz="1000" b="0">
              <a:solidFill>
                <a:schemeClr val="accent2">
                  <a:lumMod val="50000"/>
                </a:schemeClr>
              </a:solidFill>
              <a:effectLst/>
              <a:latin typeface="+mn-lt"/>
              <a:ea typeface="+mn-ea"/>
              <a:cs typeface="+mn-cs"/>
            </a:rPr>
            <a:t>3. Top-Selling Products </a:t>
          </a:r>
          <a:endParaRPr lang="en-NG" sz="1000" b="0">
            <a:solidFill>
              <a:schemeClr val="accent2">
                <a:lumMod val="50000"/>
              </a:schemeClr>
            </a:solidFill>
          </a:endParaRPr>
        </a:p>
      </xdr:txBody>
    </xdr:sp>
    <xdr:clientData/>
  </xdr:twoCellAnchor>
  <xdr:twoCellAnchor>
    <xdr:from>
      <xdr:col>0</xdr:col>
      <xdr:colOff>120650</xdr:colOff>
      <xdr:row>15</xdr:row>
      <xdr:rowOff>146050</xdr:rowOff>
    </xdr:from>
    <xdr:to>
      <xdr:col>7</xdr:col>
      <xdr:colOff>6350</xdr:colOff>
      <xdr:row>29</xdr:row>
      <xdr:rowOff>127000</xdr:rowOff>
    </xdr:to>
    <xdr:sp macro="" textlink="">
      <xdr:nvSpPr>
        <xdr:cNvPr id="4" name="Rectangle: Rounded Corners 3">
          <a:extLst>
            <a:ext uri="{FF2B5EF4-FFF2-40B4-BE49-F238E27FC236}">
              <a16:creationId xmlns:a16="http://schemas.microsoft.com/office/drawing/2014/main" id="{FE2F5B60-01FA-4F56-AAD9-22694398CF8F}"/>
            </a:ext>
          </a:extLst>
        </xdr:cNvPr>
        <xdr:cNvSpPr/>
      </xdr:nvSpPr>
      <xdr:spPr>
        <a:xfrm>
          <a:off x="120650" y="2908300"/>
          <a:ext cx="4152900" cy="2559050"/>
        </a:xfrm>
        <a:prstGeom prst="roundRect">
          <a:avLst>
            <a:gd name="adj" fmla="val 5667"/>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chemeClr val="bg1"/>
              </a:solidFill>
            </a:rPr>
            <a:t>POTENTIAL ANALYSIS QUESTIONS</a:t>
          </a:r>
        </a:p>
        <a:p>
          <a:pPr algn="ctr"/>
          <a:endParaRPr lang="en-GB" sz="1000">
            <a:solidFill>
              <a:schemeClr val="bg1"/>
            </a:solidFill>
          </a:endParaRPr>
        </a:p>
        <a:p>
          <a:pPr algn="l"/>
          <a:r>
            <a:rPr lang="en-GB" sz="1000">
              <a:solidFill>
                <a:schemeClr val="bg1"/>
              </a:solidFill>
            </a:rPr>
            <a:t>1.</a:t>
          </a:r>
          <a:r>
            <a:rPr lang="en-GB" sz="1000" baseline="0">
              <a:solidFill>
                <a:schemeClr val="bg1"/>
              </a:solidFill>
            </a:rPr>
            <a:t> What day of the week had the highest sales?</a:t>
          </a:r>
        </a:p>
        <a:p>
          <a:pPr algn="l"/>
          <a:r>
            <a:rPr lang="en-GB" sz="1000" baseline="0">
              <a:solidFill>
                <a:schemeClr val="bg1"/>
              </a:solidFill>
            </a:rPr>
            <a:t>2. What coffee type is the most sold? by quantity</a:t>
          </a:r>
        </a:p>
        <a:p>
          <a:pPr algn="l"/>
          <a:r>
            <a:rPr lang="en-GB" sz="1000" baseline="0">
              <a:solidFill>
                <a:schemeClr val="bg1"/>
              </a:solidFill>
            </a:rPr>
            <a:t>3. Which coffee type accrued the most revenue? </a:t>
          </a:r>
        </a:p>
        <a:p>
          <a:pPr algn="l"/>
          <a:r>
            <a:rPr lang="en-GB" sz="1000" baseline="0">
              <a:solidFill>
                <a:schemeClr val="bg1"/>
              </a:solidFill>
            </a:rPr>
            <a:t>4. Which month had the most sales?</a:t>
          </a:r>
        </a:p>
        <a:p>
          <a:pPr algn="l"/>
          <a:r>
            <a:rPr lang="en-GB" sz="1000" baseline="0">
              <a:solidFill>
                <a:schemeClr val="bg1"/>
              </a:solidFill>
            </a:rPr>
            <a:t>5. What time of day had most order?</a:t>
          </a:r>
        </a:p>
        <a:p>
          <a:pPr algn="l"/>
          <a:r>
            <a:rPr lang="en-GB" sz="1000" baseline="0">
              <a:solidFill>
                <a:schemeClr val="bg1"/>
              </a:solidFill>
            </a:rPr>
            <a:t>6. What is the mode of payment commonly used?</a:t>
          </a:r>
        </a:p>
        <a:p>
          <a:pPr algn="l"/>
          <a:r>
            <a:rPr lang="en-GB" sz="1000" baseline="0">
              <a:solidFill>
                <a:schemeClr val="bg1"/>
              </a:solidFill>
            </a:rPr>
            <a:t>7. Sales trend</a:t>
          </a:r>
        </a:p>
        <a:p>
          <a:pPr algn="l"/>
          <a:r>
            <a:rPr lang="en-GB" sz="1000" baseline="0">
              <a:solidFill>
                <a:schemeClr val="bg1"/>
              </a:solidFill>
            </a:rPr>
            <a:t>8. What is the total revenue?</a:t>
          </a:r>
          <a:endParaRPr lang="en-NG" sz="1000">
            <a:solidFill>
              <a:schemeClr val="bg1"/>
            </a:solidFill>
          </a:endParaRPr>
        </a:p>
      </xdr:txBody>
    </xdr:sp>
    <xdr:clientData/>
  </xdr:twoCellAnchor>
  <xdr:twoCellAnchor>
    <xdr:from>
      <xdr:col>9</xdr:col>
      <xdr:colOff>0</xdr:colOff>
      <xdr:row>0</xdr:row>
      <xdr:rowOff>107950</xdr:rowOff>
    </xdr:from>
    <xdr:to>
      <xdr:col>15</xdr:col>
      <xdr:colOff>495300</xdr:colOff>
      <xdr:row>14</xdr:row>
      <xdr:rowOff>88900</xdr:rowOff>
    </xdr:to>
    <xdr:sp macro="" textlink="">
      <xdr:nvSpPr>
        <xdr:cNvPr id="5" name="Rectangle: Rounded Corners 4">
          <a:extLst>
            <a:ext uri="{FF2B5EF4-FFF2-40B4-BE49-F238E27FC236}">
              <a16:creationId xmlns:a16="http://schemas.microsoft.com/office/drawing/2014/main" id="{5AA91E88-943F-4809-A36F-D07B8DFA4FE5}"/>
            </a:ext>
          </a:extLst>
        </xdr:cNvPr>
        <xdr:cNvSpPr/>
      </xdr:nvSpPr>
      <xdr:spPr>
        <a:xfrm>
          <a:off x="5486400" y="107950"/>
          <a:ext cx="4152900" cy="2559050"/>
        </a:xfrm>
        <a:prstGeom prst="roundRect">
          <a:avLst>
            <a:gd name="adj" fmla="val 5667"/>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chemeClr val="bg1"/>
              </a:solidFill>
            </a:rPr>
            <a:t>EXPECTED INSIGHTS</a:t>
          </a:r>
        </a:p>
        <a:p>
          <a:pPr algn="ctr"/>
          <a:endParaRPr lang="en-GB" sz="1000">
            <a:solidFill>
              <a:schemeClr val="bg1"/>
            </a:solidFill>
          </a:endParaRPr>
        </a:p>
        <a:p>
          <a:pPr algn="l"/>
          <a:r>
            <a:rPr lang="en-GB" sz="1000">
              <a:solidFill>
                <a:schemeClr val="bg1"/>
              </a:solidFill>
            </a:rPr>
            <a:t>1. The day</a:t>
          </a:r>
          <a:r>
            <a:rPr lang="en-GB" sz="1000" baseline="0">
              <a:solidFill>
                <a:schemeClr val="bg1"/>
              </a:solidFill>
            </a:rPr>
            <a:t> with the most coffee sales</a:t>
          </a:r>
        </a:p>
        <a:p>
          <a:pPr algn="l"/>
          <a:r>
            <a:rPr lang="en-GB" sz="1000" baseline="0">
              <a:solidFill>
                <a:schemeClr val="bg1"/>
              </a:solidFill>
            </a:rPr>
            <a:t>2. The coffee with the highest sold quantity</a:t>
          </a:r>
        </a:p>
        <a:p>
          <a:pPr algn="l"/>
          <a:r>
            <a:rPr lang="en-GB" sz="1000" baseline="0">
              <a:solidFill>
                <a:schemeClr val="bg1"/>
              </a:solidFill>
            </a:rPr>
            <a:t>3. Coffee type with the most sales by revenue</a:t>
          </a:r>
        </a:p>
        <a:p>
          <a:pPr algn="l"/>
          <a:r>
            <a:rPr lang="en-GB" sz="1000" baseline="0">
              <a:solidFill>
                <a:schemeClr val="bg1"/>
              </a:solidFill>
            </a:rPr>
            <a:t>4. Most sales per month</a:t>
          </a:r>
        </a:p>
        <a:p>
          <a:pPr algn="l"/>
          <a:r>
            <a:rPr lang="en-GB" sz="1000" baseline="0">
              <a:solidFill>
                <a:schemeClr val="bg1"/>
              </a:solidFill>
            </a:rPr>
            <a:t>5. Time of day that experience most order</a:t>
          </a:r>
        </a:p>
        <a:p>
          <a:pPr algn="l"/>
          <a:r>
            <a:rPr lang="en-GB" sz="1000" baseline="0">
              <a:solidFill>
                <a:schemeClr val="bg1"/>
              </a:solidFill>
            </a:rPr>
            <a:t>6. Preferred mode of payment</a:t>
          </a:r>
        </a:p>
        <a:p>
          <a:pPr algn="l"/>
          <a:r>
            <a:rPr lang="en-GB" sz="1000" baseline="0">
              <a:solidFill>
                <a:schemeClr val="bg1"/>
              </a:solidFill>
            </a:rPr>
            <a:t>7. Sales trend per week for different coffee type</a:t>
          </a:r>
        </a:p>
        <a:p>
          <a:pPr algn="l"/>
          <a:r>
            <a:rPr lang="en-GB" sz="1000" baseline="0">
              <a:solidFill>
                <a:schemeClr val="bg1"/>
              </a:solidFill>
            </a:rPr>
            <a:t>8. Revenue per month, total accrued from the business.</a:t>
          </a:r>
        </a:p>
        <a:p>
          <a:pPr algn="l"/>
          <a:endParaRPr lang="en-GB" sz="1000" baseline="0">
            <a:solidFill>
              <a:schemeClr val="bg1"/>
            </a:solidFill>
          </a:endParaRPr>
        </a:p>
        <a:p>
          <a:pPr algn="l"/>
          <a:r>
            <a:rPr lang="en-GB" sz="1000" baseline="0">
              <a:solidFill>
                <a:schemeClr val="bg1"/>
              </a:solidFill>
            </a:rPr>
            <a:t>POTENTIAL COLUMN TO APPEND</a:t>
          </a:r>
        </a:p>
        <a:p>
          <a:pPr algn="l"/>
          <a:r>
            <a:rPr lang="en-GB" sz="1000" baseline="0">
              <a:solidFill>
                <a:schemeClr val="bg1"/>
              </a:solidFill>
            </a:rPr>
            <a:t>1. Quantity sold</a:t>
          </a:r>
        </a:p>
        <a:p>
          <a:pPr algn="l"/>
          <a:r>
            <a:rPr lang="en-GB" sz="1000" baseline="0">
              <a:solidFill>
                <a:schemeClr val="bg1"/>
              </a:solidFill>
            </a:rPr>
            <a:t>2. Profit</a:t>
          </a:r>
        </a:p>
        <a:p>
          <a:pPr algn="l"/>
          <a:r>
            <a:rPr lang="en-GB" sz="1000" baseline="0">
              <a:solidFill>
                <a:schemeClr val="bg1"/>
              </a:solidFill>
            </a:rPr>
            <a:t>3. Customer type</a:t>
          </a:r>
          <a:endParaRPr lang="en-NG" sz="1000">
            <a:solidFill>
              <a:schemeClr val="bg1"/>
            </a:solidFill>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469900</xdr:colOff>
      <xdr:row>1</xdr:row>
      <xdr:rowOff>50396</xdr:rowOff>
    </xdr:from>
    <xdr:to>
      <xdr:col>3</xdr:col>
      <xdr:colOff>203200</xdr:colOff>
      <xdr:row>42</xdr:row>
      <xdr:rowOff>111403</xdr:rowOff>
    </xdr:to>
    <xdr:sp macro="" textlink="">
      <xdr:nvSpPr>
        <xdr:cNvPr id="2" name="Rectangle: Rounded Corners 1">
          <a:extLst>
            <a:ext uri="{FF2B5EF4-FFF2-40B4-BE49-F238E27FC236}">
              <a16:creationId xmlns:a16="http://schemas.microsoft.com/office/drawing/2014/main" id="{F7428079-55EF-4F4F-9F60-E29099EA55FD}"/>
            </a:ext>
          </a:extLst>
        </xdr:cNvPr>
        <xdr:cNvSpPr/>
      </xdr:nvSpPr>
      <xdr:spPr>
        <a:xfrm>
          <a:off x="469900" y="50396"/>
          <a:ext cx="1571458" cy="7825832"/>
        </a:xfrm>
        <a:prstGeom prst="roundRect">
          <a:avLst>
            <a:gd name="adj" fmla="val 10737"/>
          </a:avLst>
        </a:prstGeom>
        <a:solidFill>
          <a:srgbClr val="D2BAB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ln>
              <a:noFill/>
            </a:ln>
          </a:endParaRPr>
        </a:p>
      </xdr:txBody>
    </xdr:sp>
    <xdr:clientData/>
  </xdr:twoCellAnchor>
  <xdr:twoCellAnchor editAs="oneCell">
    <xdr:from>
      <xdr:col>0</xdr:col>
      <xdr:colOff>558800</xdr:colOff>
      <xdr:row>2</xdr:row>
      <xdr:rowOff>39057</xdr:rowOff>
    </xdr:from>
    <xdr:to>
      <xdr:col>3</xdr:col>
      <xdr:colOff>104699</xdr:colOff>
      <xdr:row>9</xdr:row>
      <xdr:rowOff>15245</xdr:rowOff>
    </xdr:to>
    <xdr:pic>
      <xdr:nvPicPr>
        <xdr:cNvPr id="4" name="Picture 3">
          <a:extLst>
            <a:ext uri="{FF2B5EF4-FFF2-40B4-BE49-F238E27FC236}">
              <a16:creationId xmlns:a16="http://schemas.microsoft.com/office/drawing/2014/main" id="{1F04D2CB-FA60-459E-AA99-BB54B95A3E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8800" y="229557"/>
          <a:ext cx="1374699" cy="1309688"/>
        </a:xfrm>
        <a:prstGeom prst="rect">
          <a:avLst/>
        </a:prstGeom>
      </xdr:spPr>
    </xdr:pic>
    <xdr:clientData/>
  </xdr:twoCellAnchor>
  <xdr:twoCellAnchor>
    <xdr:from>
      <xdr:col>3</xdr:col>
      <xdr:colOff>292099</xdr:colOff>
      <xdr:row>1</xdr:row>
      <xdr:rowOff>71437</xdr:rowOff>
    </xdr:from>
    <xdr:to>
      <xdr:col>28</xdr:col>
      <xdr:colOff>306916</xdr:colOff>
      <xdr:row>6</xdr:row>
      <xdr:rowOff>101600</xdr:rowOff>
    </xdr:to>
    <xdr:sp macro="" textlink="">
      <xdr:nvSpPr>
        <xdr:cNvPr id="5" name="Rectangle: Rounded Corners 4">
          <a:extLst>
            <a:ext uri="{FF2B5EF4-FFF2-40B4-BE49-F238E27FC236}">
              <a16:creationId xmlns:a16="http://schemas.microsoft.com/office/drawing/2014/main" id="{49782760-01B3-4D3F-9E5B-C736AC932E50}"/>
            </a:ext>
          </a:extLst>
        </xdr:cNvPr>
        <xdr:cNvSpPr/>
      </xdr:nvSpPr>
      <xdr:spPr>
        <a:xfrm>
          <a:off x="2120899" y="71437"/>
          <a:ext cx="15254817" cy="982663"/>
        </a:xfrm>
        <a:prstGeom prst="roundRect">
          <a:avLst>
            <a:gd name="adj" fmla="val 11067"/>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ln>
              <a:noFill/>
            </a:ln>
          </a:endParaRPr>
        </a:p>
      </xdr:txBody>
    </xdr:sp>
    <xdr:clientData/>
  </xdr:twoCellAnchor>
  <xdr:twoCellAnchor>
    <xdr:from>
      <xdr:col>3</xdr:col>
      <xdr:colOff>292100</xdr:colOff>
      <xdr:row>18</xdr:row>
      <xdr:rowOff>184148</xdr:rowOff>
    </xdr:from>
    <xdr:to>
      <xdr:col>11</xdr:col>
      <xdr:colOff>571500</xdr:colOff>
      <xdr:row>30</xdr:row>
      <xdr:rowOff>169333</xdr:rowOff>
    </xdr:to>
    <xdr:sp macro="" textlink="">
      <xdr:nvSpPr>
        <xdr:cNvPr id="6" name="Rectangle: Rounded Corners 5">
          <a:extLst>
            <a:ext uri="{FF2B5EF4-FFF2-40B4-BE49-F238E27FC236}">
              <a16:creationId xmlns:a16="http://schemas.microsoft.com/office/drawing/2014/main" id="{ED16FAC7-7872-42EC-B2E1-14D77E7B6213}"/>
            </a:ext>
          </a:extLst>
        </xdr:cNvPr>
        <xdr:cNvSpPr/>
      </xdr:nvSpPr>
      <xdr:spPr>
        <a:xfrm>
          <a:off x="2120900" y="3422648"/>
          <a:ext cx="5156200" cy="2271185"/>
        </a:xfrm>
        <a:prstGeom prst="roundRect">
          <a:avLst>
            <a:gd name="adj" fmla="val 11067"/>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ln>
              <a:noFill/>
            </a:ln>
          </a:endParaRPr>
        </a:p>
      </xdr:txBody>
    </xdr:sp>
    <xdr:clientData/>
  </xdr:twoCellAnchor>
  <xdr:twoCellAnchor>
    <xdr:from>
      <xdr:col>3</xdr:col>
      <xdr:colOff>292099</xdr:colOff>
      <xdr:row>6</xdr:row>
      <xdr:rowOff>177798</xdr:rowOff>
    </xdr:from>
    <xdr:to>
      <xdr:col>20</xdr:col>
      <xdr:colOff>21164</xdr:colOff>
      <xdr:row>18</xdr:row>
      <xdr:rowOff>127000</xdr:rowOff>
    </xdr:to>
    <xdr:sp macro="" textlink="">
      <xdr:nvSpPr>
        <xdr:cNvPr id="7" name="Rectangle: Rounded Corners 6">
          <a:extLst>
            <a:ext uri="{FF2B5EF4-FFF2-40B4-BE49-F238E27FC236}">
              <a16:creationId xmlns:a16="http://schemas.microsoft.com/office/drawing/2014/main" id="{E787E311-98F6-4B91-AAF1-91C39CD96C19}"/>
            </a:ext>
          </a:extLst>
        </xdr:cNvPr>
        <xdr:cNvSpPr/>
      </xdr:nvSpPr>
      <xdr:spPr>
        <a:xfrm>
          <a:off x="2120899" y="1130298"/>
          <a:ext cx="10092265" cy="2235202"/>
        </a:xfrm>
        <a:prstGeom prst="roundRect">
          <a:avLst>
            <a:gd name="adj" fmla="val 11067"/>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ln>
              <a:noFill/>
            </a:ln>
          </a:endParaRPr>
        </a:p>
      </xdr:txBody>
    </xdr:sp>
    <xdr:clientData/>
  </xdr:twoCellAnchor>
  <xdr:twoCellAnchor>
    <xdr:from>
      <xdr:col>20</xdr:col>
      <xdr:colOff>395259</xdr:colOff>
      <xdr:row>18</xdr:row>
      <xdr:rowOff>161755</xdr:rowOff>
    </xdr:from>
    <xdr:to>
      <xdr:col>28</xdr:col>
      <xdr:colOff>285193</xdr:colOff>
      <xdr:row>30</xdr:row>
      <xdr:rowOff>153290</xdr:rowOff>
    </xdr:to>
    <xdr:sp macro="" textlink="">
      <xdr:nvSpPr>
        <xdr:cNvPr id="8" name="Rectangle: Rounded Corners 7">
          <a:extLst>
            <a:ext uri="{FF2B5EF4-FFF2-40B4-BE49-F238E27FC236}">
              <a16:creationId xmlns:a16="http://schemas.microsoft.com/office/drawing/2014/main" id="{5AB332C2-6B43-46CC-8741-313DBC35E0CC}"/>
            </a:ext>
          </a:extLst>
        </xdr:cNvPr>
        <xdr:cNvSpPr/>
      </xdr:nvSpPr>
      <xdr:spPr>
        <a:xfrm>
          <a:off x="12649645" y="3381316"/>
          <a:ext cx="4791688" cy="2264167"/>
        </a:xfrm>
        <a:prstGeom prst="roundRect">
          <a:avLst>
            <a:gd name="adj" fmla="val 11067"/>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ln>
              <a:noFill/>
            </a:ln>
          </a:endParaRPr>
        </a:p>
      </xdr:txBody>
    </xdr:sp>
    <xdr:clientData/>
  </xdr:twoCellAnchor>
  <xdr:twoCellAnchor>
    <xdr:from>
      <xdr:col>12</xdr:col>
      <xdr:colOff>28519</xdr:colOff>
      <xdr:row>19</xdr:row>
      <xdr:rowOff>2116</xdr:rowOff>
    </xdr:from>
    <xdr:to>
      <xdr:col>20</xdr:col>
      <xdr:colOff>295219</xdr:colOff>
      <xdr:row>30</xdr:row>
      <xdr:rowOff>177801</xdr:rowOff>
    </xdr:to>
    <xdr:sp macro="" textlink="">
      <xdr:nvSpPr>
        <xdr:cNvPr id="9" name="Rectangle: Rounded Corners 8">
          <a:extLst>
            <a:ext uri="{FF2B5EF4-FFF2-40B4-BE49-F238E27FC236}">
              <a16:creationId xmlns:a16="http://schemas.microsoft.com/office/drawing/2014/main" id="{AC179D48-0EF3-433A-AEB2-61EEF5C79A51}"/>
            </a:ext>
          </a:extLst>
        </xdr:cNvPr>
        <xdr:cNvSpPr/>
      </xdr:nvSpPr>
      <xdr:spPr>
        <a:xfrm>
          <a:off x="7381151" y="3411063"/>
          <a:ext cx="5168454" cy="2258931"/>
        </a:xfrm>
        <a:prstGeom prst="roundRect">
          <a:avLst>
            <a:gd name="adj" fmla="val 11067"/>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ln>
              <a:noFill/>
            </a:ln>
          </a:endParaRPr>
        </a:p>
      </xdr:txBody>
    </xdr:sp>
    <xdr:clientData/>
  </xdr:twoCellAnchor>
  <xdr:twoCellAnchor>
    <xdr:from>
      <xdr:col>20</xdr:col>
      <xdr:colOff>105833</xdr:colOff>
      <xdr:row>6</xdr:row>
      <xdr:rowOff>177798</xdr:rowOff>
    </xdr:from>
    <xdr:to>
      <xdr:col>28</xdr:col>
      <xdr:colOff>296334</xdr:colOff>
      <xdr:row>18</xdr:row>
      <xdr:rowOff>114300</xdr:rowOff>
    </xdr:to>
    <xdr:sp macro="" textlink="">
      <xdr:nvSpPr>
        <xdr:cNvPr id="10" name="Rectangle: Rounded Corners 9">
          <a:extLst>
            <a:ext uri="{FF2B5EF4-FFF2-40B4-BE49-F238E27FC236}">
              <a16:creationId xmlns:a16="http://schemas.microsoft.com/office/drawing/2014/main" id="{201C82E0-9C5A-4CA6-B568-DE262CE61616}"/>
            </a:ext>
          </a:extLst>
        </xdr:cNvPr>
        <xdr:cNvSpPr/>
      </xdr:nvSpPr>
      <xdr:spPr>
        <a:xfrm>
          <a:off x="12382500" y="1077381"/>
          <a:ext cx="5101167" cy="2095502"/>
        </a:xfrm>
        <a:prstGeom prst="roundRect">
          <a:avLst>
            <a:gd name="adj" fmla="val 11067"/>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ln>
              <a:noFill/>
            </a:ln>
          </a:endParaRPr>
        </a:p>
      </xdr:txBody>
    </xdr:sp>
    <xdr:clientData/>
  </xdr:twoCellAnchor>
  <xdr:twoCellAnchor>
    <xdr:from>
      <xdr:col>11</xdr:col>
      <xdr:colOff>493740</xdr:colOff>
      <xdr:row>31</xdr:row>
      <xdr:rowOff>61829</xdr:rowOff>
    </xdr:from>
    <xdr:to>
      <xdr:col>28</xdr:col>
      <xdr:colOff>311930</xdr:colOff>
      <xdr:row>42</xdr:row>
      <xdr:rowOff>111403</xdr:rowOff>
    </xdr:to>
    <xdr:sp macro="" textlink="">
      <xdr:nvSpPr>
        <xdr:cNvPr id="11" name="Rectangle: Rounded Corners 10">
          <a:extLst>
            <a:ext uri="{FF2B5EF4-FFF2-40B4-BE49-F238E27FC236}">
              <a16:creationId xmlns:a16="http://schemas.microsoft.com/office/drawing/2014/main" id="{421FCD77-5586-40B5-9330-01F10C8E2278}"/>
            </a:ext>
          </a:extLst>
        </xdr:cNvPr>
        <xdr:cNvSpPr/>
      </xdr:nvSpPr>
      <xdr:spPr>
        <a:xfrm>
          <a:off x="7233652" y="5743408"/>
          <a:ext cx="10234418" cy="2132820"/>
        </a:xfrm>
        <a:prstGeom prst="roundRect">
          <a:avLst>
            <a:gd name="adj" fmla="val 11067"/>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ln>
              <a:noFill/>
            </a:ln>
          </a:endParaRPr>
        </a:p>
      </xdr:txBody>
    </xdr:sp>
    <xdr:clientData/>
  </xdr:twoCellAnchor>
  <xdr:twoCellAnchor>
    <xdr:from>
      <xdr:col>3</xdr:col>
      <xdr:colOff>292100</xdr:colOff>
      <xdr:row>31</xdr:row>
      <xdr:rowOff>63500</xdr:rowOff>
    </xdr:from>
    <xdr:to>
      <xdr:col>11</xdr:col>
      <xdr:colOff>406400</xdr:colOff>
      <xdr:row>42</xdr:row>
      <xdr:rowOff>110873</xdr:rowOff>
    </xdr:to>
    <xdr:sp macro="" textlink="">
      <xdr:nvSpPr>
        <xdr:cNvPr id="12" name="Rectangle: Rounded Corners 11">
          <a:extLst>
            <a:ext uri="{FF2B5EF4-FFF2-40B4-BE49-F238E27FC236}">
              <a16:creationId xmlns:a16="http://schemas.microsoft.com/office/drawing/2014/main" id="{FFE2696F-D0D3-479A-A571-F6753550CB7E}"/>
            </a:ext>
          </a:extLst>
        </xdr:cNvPr>
        <xdr:cNvSpPr/>
      </xdr:nvSpPr>
      <xdr:spPr>
        <a:xfrm>
          <a:off x="2120900" y="5778500"/>
          <a:ext cx="4991100" cy="2142873"/>
        </a:xfrm>
        <a:prstGeom prst="roundRect">
          <a:avLst>
            <a:gd name="adj" fmla="val 11067"/>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ln>
              <a:noFill/>
            </a:ln>
          </a:endParaRPr>
        </a:p>
      </xdr:txBody>
    </xdr:sp>
    <xdr:clientData/>
  </xdr:twoCellAnchor>
  <xdr:twoCellAnchor>
    <xdr:from>
      <xdr:col>28</xdr:col>
      <xdr:colOff>378330</xdr:colOff>
      <xdr:row>1</xdr:row>
      <xdr:rowOff>76403</xdr:rowOff>
    </xdr:from>
    <xdr:to>
      <xdr:col>33</xdr:col>
      <xdr:colOff>349250</xdr:colOff>
      <xdr:row>42</xdr:row>
      <xdr:rowOff>122543</xdr:rowOff>
    </xdr:to>
    <xdr:sp macro="" textlink="">
      <xdr:nvSpPr>
        <xdr:cNvPr id="13" name="Rectangle: Rounded Corners 12">
          <a:extLst>
            <a:ext uri="{FF2B5EF4-FFF2-40B4-BE49-F238E27FC236}">
              <a16:creationId xmlns:a16="http://schemas.microsoft.com/office/drawing/2014/main" id="{648F74C7-1E5E-4907-BA6C-3F503697D932}"/>
            </a:ext>
          </a:extLst>
        </xdr:cNvPr>
        <xdr:cNvSpPr/>
      </xdr:nvSpPr>
      <xdr:spPr>
        <a:xfrm>
          <a:off x="17534470" y="76403"/>
          <a:ext cx="3034517" cy="7810965"/>
        </a:xfrm>
        <a:prstGeom prst="roundRect">
          <a:avLst>
            <a:gd name="adj" fmla="val 11067"/>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ln>
              <a:noFill/>
            </a:ln>
          </a:endParaRPr>
        </a:p>
      </xdr:txBody>
    </xdr:sp>
    <xdr:clientData/>
  </xdr:twoCellAnchor>
  <xdr:twoCellAnchor>
    <xdr:from>
      <xdr:col>3</xdr:col>
      <xdr:colOff>419100</xdr:colOff>
      <xdr:row>1</xdr:row>
      <xdr:rowOff>177800</xdr:rowOff>
    </xdr:from>
    <xdr:to>
      <xdr:col>17</xdr:col>
      <xdr:colOff>508000</xdr:colOff>
      <xdr:row>4</xdr:row>
      <xdr:rowOff>127000</xdr:rowOff>
    </xdr:to>
    <xdr:sp macro="" textlink="">
      <xdr:nvSpPr>
        <xdr:cNvPr id="14" name="TextBox 13">
          <a:extLst>
            <a:ext uri="{FF2B5EF4-FFF2-40B4-BE49-F238E27FC236}">
              <a16:creationId xmlns:a16="http://schemas.microsoft.com/office/drawing/2014/main" id="{42B7351C-ABC4-43CA-B26F-E1B9BE6B8A87}"/>
            </a:ext>
          </a:extLst>
        </xdr:cNvPr>
        <xdr:cNvSpPr txBox="1"/>
      </xdr:nvSpPr>
      <xdr:spPr>
        <a:xfrm>
          <a:off x="1638300" y="177800"/>
          <a:ext cx="8623300" cy="520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1">
              <a:solidFill>
                <a:srgbClr val="6A4A3A"/>
              </a:solidFill>
              <a:latin typeface="Georgia" panose="02040502050405020303" pitchFamily="18" charset="0"/>
            </a:rPr>
            <a:t>SALES</a:t>
          </a:r>
          <a:r>
            <a:rPr lang="en-GB" sz="2800" b="1" baseline="0">
              <a:solidFill>
                <a:srgbClr val="6A4A3A"/>
              </a:solidFill>
              <a:latin typeface="Georgia" panose="02040502050405020303" pitchFamily="18" charset="0"/>
            </a:rPr>
            <a:t> ANALYSIS FOR COFFEE SHOP</a:t>
          </a:r>
          <a:endParaRPr lang="en-NG" sz="2800" b="1">
            <a:solidFill>
              <a:srgbClr val="6A4A3A"/>
            </a:solidFill>
            <a:latin typeface="Georgia" panose="02040502050405020303" pitchFamily="18" charset="0"/>
          </a:endParaRPr>
        </a:p>
      </xdr:txBody>
    </xdr:sp>
    <xdr:clientData/>
  </xdr:twoCellAnchor>
  <xdr:twoCellAnchor>
    <xdr:from>
      <xdr:col>3</xdr:col>
      <xdr:colOff>406400</xdr:colOff>
      <xdr:row>4</xdr:row>
      <xdr:rowOff>63500</xdr:rowOff>
    </xdr:from>
    <xdr:to>
      <xdr:col>9</xdr:col>
      <xdr:colOff>584200</xdr:colOff>
      <xdr:row>6</xdr:row>
      <xdr:rowOff>12700</xdr:rowOff>
    </xdr:to>
    <xdr:sp macro="" textlink="">
      <xdr:nvSpPr>
        <xdr:cNvPr id="15" name="TextBox 14">
          <a:extLst>
            <a:ext uri="{FF2B5EF4-FFF2-40B4-BE49-F238E27FC236}">
              <a16:creationId xmlns:a16="http://schemas.microsoft.com/office/drawing/2014/main" id="{D93E6F9E-5842-4B7A-8172-71BB3D08374B}"/>
            </a:ext>
          </a:extLst>
        </xdr:cNvPr>
        <xdr:cNvSpPr txBox="1"/>
      </xdr:nvSpPr>
      <xdr:spPr>
        <a:xfrm>
          <a:off x="1625600" y="635000"/>
          <a:ext cx="3835400" cy="330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i="1">
              <a:solidFill>
                <a:schemeClr val="bg2">
                  <a:lumMod val="50000"/>
                </a:schemeClr>
              </a:solidFill>
              <a:latin typeface="Georgia" panose="02040502050405020303" pitchFamily="18" charset="0"/>
            </a:rPr>
            <a:t>Figures</a:t>
          </a:r>
          <a:r>
            <a:rPr lang="en-GB" sz="1400" i="1" baseline="0">
              <a:solidFill>
                <a:schemeClr val="bg2">
                  <a:lumMod val="50000"/>
                </a:schemeClr>
              </a:solidFill>
              <a:latin typeface="Georgia" panose="02040502050405020303" pitchFamily="18" charset="0"/>
            </a:rPr>
            <a:t> in USD</a:t>
          </a:r>
          <a:endParaRPr lang="en-NG" sz="1400" i="1">
            <a:solidFill>
              <a:schemeClr val="bg2">
                <a:lumMod val="50000"/>
              </a:schemeClr>
            </a:solidFill>
            <a:latin typeface="Georgia" panose="02040502050405020303" pitchFamily="18" charset="0"/>
          </a:endParaRPr>
        </a:p>
      </xdr:txBody>
    </xdr:sp>
    <xdr:clientData/>
  </xdr:twoCellAnchor>
  <xdr:twoCellAnchor editAs="oneCell">
    <xdr:from>
      <xdr:col>1</xdr:col>
      <xdr:colOff>355600</xdr:colOff>
      <xdr:row>9</xdr:row>
      <xdr:rowOff>38100</xdr:rowOff>
    </xdr:from>
    <xdr:to>
      <xdr:col>2</xdr:col>
      <xdr:colOff>358000</xdr:colOff>
      <xdr:row>12</xdr:row>
      <xdr:rowOff>78600</xdr:rowOff>
    </xdr:to>
    <xdr:pic>
      <xdr:nvPicPr>
        <xdr:cNvPr id="17" name="Graphic 16" descr="Arrow circle with solid fill">
          <a:hlinkClick xmlns:r="http://schemas.openxmlformats.org/officeDocument/2006/relationships" r:id="rId2"/>
          <a:extLst>
            <a:ext uri="{FF2B5EF4-FFF2-40B4-BE49-F238E27FC236}">
              <a16:creationId xmlns:a16="http://schemas.microsoft.com/office/drawing/2014/main" id="{36CEDC20-2D92-457E-9C0E-5EB63DF22CB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5600" y="1562100"/>
          <a:ext cx="612000" cy="612000"/>
        </a:xfrm>
        <a:prstGeom prst="rect">
          <a:avLst/>
        </a:prstGeom>
      </xdr:spPr>
    </xdr:pic>
    <xdr:clientData/>
  </xdr:twoCellAnchor>
  <xdr:twoCellAnchor editAs="oneCell">
    <xdr:from>
      <xdr:col>1</xdr:col>
      <xdr:colOff>338062</xdr:colOff>
      <xdr:row>13</xdr:row>
      <xdr:rowOff>124783</xdr:rowOff>
    </xdr:from>
    <xdr:to>
      <xdr:col>2</xdr:col>
      <xdr:colOff>340462</xdr:colOff>
      <xdr:row>16</xdr:row>
      <xdr:rowOff>156212</xdr:rowOff>
    </xdr:to>
    <xdr:pic>
      <xdr:nvPicPr>
        <xdr:cNvPr id="19" name="Graphic 18" descr="Lightbulb and gear with solid fill">
          <a:hlinkClick xmlns:r="http://schemas.openxmlformats.org/officeDocument/2006/relationships" r:id="rId5"/>
          <a:extLst>
            <a:ext uri="{FF2B5EF4-FFF2-40B4-BE49-F238E27FC236}">
              <a16:creationId xmlns:a16="http://schemas.microsoft.com/office/drawing/2014/main" id="{F4BF9FDC-313A-4430-93DF-90D671CC780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338062" y="2301926"/>
          <a:ext cx="607162" cy="575715"/>
        </a:xfrm>
        <a:prstGeom prst="rect">
          <a:avLst/>
        </a:prstGeom>
      </xdr:spPr>
    </xdr:pic>
    <xdr:clientData/>
  </xdr:twoCellAnchor>
  <xdr:twoCellAnchor editAs="oneCell">
    <xdr:from>
      <xdr:col>1</xdr:col>
      <xdr:colOff>325362</xdr:colOff>
      <xdr:row>18</xdr:row>
      <xdr:rowOff>38906</xdr:rowOff>
    </xdr:from>
    <xdr:to>
      <xdr:col>2</xdr:col>
      <xdr:colOff>327762</xdr:colOff>
      <xdr:row>21</xdr:row>
      <xdr:rowOff>79406</xdr:rowOff>
    </xdr:to>
    <xdr:pic>
      <xdr:nvPicPr>
        <xdr:cNvPr id="21" name="Graphic 20" descr="Checklist with solid fill">
          <a:hlinkClick xmlns:r="http://schemas.openxmlformats.org/officeDocument/2006/relationships" r:id="rId8"/>
          <a:extLst>
            <a:ext uri="{FF2B5EF4-FFF2-40B4-BE49-F238E27FC236}">
              <a16:creationId xmlns:a16="http://schemas.microsoft.com/office/drawing/2014/main" id="{461FA79B-B3DA-436A-9742-36DA9F8C124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325362" y="3123192"/>
          <a:ext cx="607162" cy="584785"/>
        </a:xfrm>
        <a:prstGeom prst="rect">
          <a:avLst/>
        </a:prstGeom>
      </xdr:spPr>
    </xdr:pic>
    <xdr:clientData/>
  </xdr:twoCellAnchor>
  <xdr:twoCellAnchor editAs="oneCell">
    <xdr:from>
      <xdr:col>1</xdr:col>
      <xdr:colOff>330200</xdr:colOff>
      <xdr:row>22</xdr:row>
      <xdr:rowOff>144539</xdr:rowOff>
    </xdr:from>
    <xdr:to>
      <xdr:col>2</xdr:col>
      <xdr:colOff>332600</xdr:colOff>
      <xdr:row>26</xdr:row>
      <xdr:rowOff>3611</xdr:rowOff>
    </xdr:to>
    <xdr:pic>
      <xdr:nvPicPr>
        <xdr:cNvPr id="23" name="Graphic 22" descr="Email with solid fill">
          <a:hlinkClick xmlns:r="http://schemas.openxmlformats.org/officeDocument/2006/relationships" r:id="rId11"/>
          <a:extLst>
            <a:ext uri="{FF2B5EF4-FFF2-40B4-BE49-F238E27FC236}">
              <a16:creationId xmlns:a16="http://schemas.microsoft.com/office/drawing/2014/main" id="{357DF30F-DDA7-4D44-BB89-53E7642A5437}"/>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330200" y="3954539"/>
          <a:ext cx="607162" cy="584786"/>
        </a:xfrm>
        <a:prstGeom prst="rect">
          <a:avLst/>
        </a:prstGeom>
      </xdr:spPr>
    </xdr:pic>
    <xdr:clientData/>
  </xdr:twoCellAnchor>
  <xdr:twoCellAnchor>
    <xdr:from>
      <xdr:col>3</xdr:col>
      <xdr:colOff>317499</xdr:colOff>
      <xdr:row>8</xdr:row>
      <xdr:rowOff>110873</xdr:rowOff>
    </xdr:from>
    <xdr:to>
      <xdr:col>19</xdr:col>
      <xdr:colOff>582084</xdr:colOff>
      <xdr:row>18</xdr:row>
      <xdr:rowOff>63500</xdr:rowOff>
    </xdr:to>
    <xdr:graphicFrame macro="">
      <xdr:nvGraphicFramePr>
        <xdr:cNvPr id="24" name="Chart 23">
          <a:extLst>
            <a:ext uri="{FF2B5EF4-FFF2-40B4-BE49-F238E27FC236}">
              <a16:creationId xmlns:a16="http://schemas.microsoft.com/office/drawing/2014/main" id="{40361EA3-DE79-416C-957C-D1298F8A5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411302</xdr:colOff>
      <xdr:row>7</xdr:row>
      <xdr:rowOff>38100</xdr:rowOff>
    </xdr:from>
    <xdr:to>
      <xdr:col>9</xdr:col>
      <xdr:colOff>589102</xdr:colOff>
      <xdr:row>8</xdr:row>
      <xdr:rowOff>177800</xdr:rowOff>
    </xdr:to>
    <xdr:sp macro="" textlink="">
      <xdr:nvSpPr>
        <xdr:cNvPr id="25" name="TextBox 24">
          <a:extLst>
            <a:ext uri="{FF2B5EF4-FFF2-40B4-BE49-F238E27FC236}">
              <a16:creationId xmlns:a16="http://schemas.microsoft.com/office/drawing/2014/main" id="{367DFBBE-0A20-458E-9461-503C42C51E97}"/>
            </a:ext>
          </a:extLst>
        </xdr:cNvPr>
        <xdr:cNvSpPr txBox="1"/>
      </xdr:nvSpPr>
      <xdr:spPr>
        <a:xfrm>
          <a:off x="2249460" y="1174416"/>
          <a:ext cx="3854116" cy="3290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i="0">
              <a:solidFill>
                <a:srgbClr val="6A4A3A"/>
              </a:solidFill>
              <a:latin typeface="Georgia" panose="02040502050405020303" pitchFamily="18" charset="0"/>
            </a:rPr>
            <a:t>Sales Trend Across Different Dates</a:t>
          </a:r>
          <a:endParaRPr lang="en-NG" sz="1400" b="1" i="0">
            <a:solidFill>
              <a:srgbClr val="6A4A3A"/>
            </a:solidFill>
            <a:latin typeface="Georgia" panose="02040502050405020303" pitchFamily="18" charset="0"/>
          </a:endParaRPr>
        </a:p>
      </xdr:txBody>
    </xdr:sp>
    <xdr:clientData/>
  </xdr:twoCellAnchor>
  <xdr:twoCellAnchor>
    <xdr:from>
      <xdr:col>11</xdr:col>
      <xdr:colOff>533399</xdr:colOff>
      <xdr:row>33</xdr:row>
      <xdr:rowOff>31750</xdr:rowOff>
    </xdr:from>
    <xdr:to>
      <xdr:col>28</xdr:col>
      <xdr:colOff>211666</xdr:colOff>
      <xdr:row>42</xdr:row>
      <xdr:rowOff>54176</xdr:rowOff>
    </xdr:to>
    <xdr:graphicFrame macro="">
      <xdr:nvGraphicFramePr>
        <xdr:cNvPr id="26" name="Chart 25">
          <a:extLst>
            <a:ext uri="{FF2B5EF4-FFF2-40B4-BE49-F238E27FC236}">
              <a16:creationId xmlns:a16="http://schemas.microsoft.com/office/drawing/2014/main" id="{F88C3E97-A83B-4FB3-9FBB-381A10FBEF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431800</xdr:colOff>
      <xdr:row>31</xdr:row>
      <xdr:rowOff>114300</xdr:rowOff>
    </xdr:from>
    <xdr:to>
      <xdr:col>10</xdr:col>
      <xdr:colOff>0</xdr:colOff>
      <xdr:row>33</xdr:row>
      <xdr:rowOff>63500</xdr:rowOff>
    </xdr:to>
    <xdr:sp macro="" textlink="">
      <xdr:nvSpPr>
        <xdr:cNvPr id="27" name="TextBox 26">
          <a:extLst>
            <a:ext uri="{FF2B5EF4-FFF2-40B4-BE49-F238E27FC236}">
              <a16:creationId xmlns:a16="http://schemas.microsoft.com/office/drawing/2014/main" id="{A8FE8EBC-C7BA-4A36-AD8D-5E9FE459ABC5}"/>
            </a:ext>
          </a:extLst>
        </xdr:cNvPr>
        <xdr:cNvSpPr txBox="1"/>
      </xdr:nvSpPr>
      <xdr:spPr>
        <a:xfrm>
          <a:off x="1651000" y="5829300"/>
          <a:ext cx="3835400" cy="330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i="0">
              <a:solidFill>
                <a:srgbClr val="6A4A3A"/>
              </a:solidFill>
              <a:latin typeface="Georgia" panose="02040502050405020303" pitchFamily="18" charset="0"/>
            </a:rPr>
            <a:t>Quantity Sold per Month</a:t>
          </a:r>
          <a:endParaRPr lang="en-NG" sz="1400" b="1" i="0">
            <a:solidFill>
              <a:srgbClr val="6A4A3A"/>
            </a:solidFill>
            <a:latin typeface="Georgia" panose="02040502050405020303" pitchFamily="18" charset="0"/>
          </a:endParaRPr>
        </a:p>
      </xdr:txBody>
    </xdr:sp>
    <xdr:clientData/>
  </xdr:twoCellAnchor>
  <xdr:twoCellAnchor>
    <xdr:from>
      <xdr:col>20</xdr:col>
      <xdr:colOff>340783</xdr:colOff>
      <xdr:row>7</xdr:row>
      <xdr:rowOff>27517</xdr:rowOff>
    </xdr:from>
    <xdr:to>
      <xdr:col>26</xdr:col>
      <xdr:colOff>522816</xdr:colOff>
      <xdr:row>8</xdr:row>
      <xdr:rowOff>167217</xdr:rowOff>
    </xdr:to>
    <xdr:sp macro="" textlink="">
      <xdr:nvSpPr>
        <xdr:cNvPr id="28" name="TextBox 27">
          <a:extLst>
            <a:ext uri="{FF2B5EF4-FFF2-40B4-BE49-F238E27FC236}">
              <a16:creationId xmlns:a16="http://schemas.microsoft.com/office/drawing/2014/main" id="{CD3FFA40-7EEC-49A7-BC66-2EA25FC8E172}"/>
            </a:ext>
          </a:extLst>
        </xdr:cNvPr>
        <xdr:cNvSpPr txBox="1"/>
      </xdr:nvSpPr>
      <xdr:spPr>
        <a:xfrm>
          <a:off x="12617450" y="1107017"/>
          <a:ext cx="3865033" cy="3196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i="0">
              <a:solidFill>
                <a:srgbClr val="6A4A3A"/>
              </a:solidFill>
              <a:latin typeface="Georgia" panose="02040502050405020303" pitchFamily="18" charset="0"/>
            </a:rPr>
            <a:t>Top 5 Coffee Type by Revenue</a:t>
          </a:r>
          <a:endParaRPr lang="en-NG" sz="1400" b="1" i="0">
            <a:solidFill>
              <a:srgbClr val="6A4A3A"/>
            </a:solidFill>
            <a:latin typeface="Georgia" panose="02040502050405020303" pitchFamily="18" charset="0"/>
          </a:endParaRPr>
        </a:p>
      </xdr:txBody>
    </xdr:sp>
    <xdr:clientData/>
  </xdr:twoCellAnchor>
  <xdr:twoCellAnchor>
    <xdr:from>
      <xdr:col>12</xdr:col>
      <xdr:colOff>120538</xdr:colOff>
      <xdr:row>19</xdr:row>
      <xdr:rowOff>74641</xdr:rowOff>
    </xdr:from>
    <xdr:to>
      <xdr:col>18</xdr:col>
      <xdr:colOff>294105</xdr:colOff>
      <xdr:row>21</xdr:row>
      <xdr:rowOff>23841</xdr:rowOff>
    </xdr:to>
    <xdr:sp macro="" textlink="">
      <xdr:nvSpPr>
        <xdr:cNvPr id="29" name="TextBox 28">
          <a:extLst>
            <a:ext uri="{FF2B5EF4-FFF2-40B4-BE49-F238E27FC236}">
              <a16:creationId xmlns:a16="http://schemas.microsoft.com/office/drawing/2014/main" id="{9DE64352-9023-445A-852A-4E5415C314DE}"/>
            </a:ext>
          </a:extLst>
        </xdr:cNvPr>
        <xdr:cNvSpPr txBox="1"/>
      </xdr:nvSpPr>
      <xdr:spPr>
        <a:xfrm>
          <a:off x="7473170" y="3483588"/>
          <a:ext cx="3849882" cy="3279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i="0">
              <a:solidFill>
                <a:srgbClr val="6A4A3A"/>
              </a:solidFill>
              <a:latin typeface="Georgia" panose="02040502050405020303" pitchFamily="18" charset="0"/>
            </a:rPr>
            <a:t>Revenue by Month</a:t>
          </a:r>
          <a:endParaRPr lang="en-NG" sz="1400" b="1" i="0">
            <a:solidFill>
              <a:srgbClr val="6A4A3A"/>
            </a:solidFill>
            <a:latin typeface="Georgia" panose="02040502050405020303" pitchFamily="18" charset="0"/>
          </a:endParaRPr>
        </a:p>
      </xdr:txBody>
    </xdr:sp>
    <xdr:clientData/>
  </xdr:twoCellAnchor>
  <xdr:twoCellAnchor>
    <xdr:from>
      <xdr:col>11</xdr:col>
      <xdr:colOff>601133</xdr:colOff>
      <xdr:row>31</xdr:row>
      <xdr:rowOff>124882</xdr:rowOff>
    </xdr:from>
    <xdr:to>
      <xdr:col>18</xdr:col>
      <xdr:colOff>165100</xdr:colOff>
      <xdr:row>33</xdr:row>
      <xdr:rowOff>74082</xdr:rowOff>
    </xdr:to>
    <xdr:sp macro="" textlink="">
      <xdr:nvSpPr>
        <xdr:cNvPr id="30" name="TextBox 29">
          <a:extLst>
            <a:ext uri="{FF2B5EF4-FFF2-40B4-BE49-F238E27FC236}">
              <a16:creationId xmlns:a16="http://schemas.microsoft.com/office/drawing/2014/main" id="{45C86897-FC42-4556-99CB-7E2B4DE35A82}"/>
            </a:ext>
          </a:extLst>
        </xdr:cNvPr>
        <xdr:cNvSpPr txBox="1"/>
      </xdr:nvSpPr>
      <xdr:spPr>
        <a:xfrm>
          <a:off x="7353300" y="5522382"/>
          <a:ext cx="3860800" cy="3090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i="0">
              <a:solidFill>
                <a:srgbClr val="6A4A3A"/>
              </a:solidFill>
              <a:latin typeface="Georgia" panose="02040502050405020303" pitchFamily="18" charset="0"/>
            </a:rPr>
            <a:t>Top Hour by Highest Revenue</a:t>
          </a:r>
          <a:endParaRPr lang="en-NG" sz="1400" b="1" i="0">
            <a:solidFill>
              <a:srgbClr val="6A4A3A"/>
            </a:solidFill>
            <a:latin typeface="Georgia" panose="02040502050405020303" pitchFamily="18" charset="0"/>
          </a:endParaRPr>
        </a:p>
      </xdr:txBody>
    </xdr:sp>
    <xdr:clientData/>
  </xdr:twoCellAnchor>
  <xdr:twoCellAnchor>
    <xdr:from>
      <xdr:col>3</xdr:col>
      <xdr:colOff>444500</xdr:colOff>
      <xdr:row>19</xdr:row>
      <xdr:rowOff>50800</xdr:rowOff>
    </xdr:from>
    <xdr:to>
      <xdr:col>10</xdr:col>
      <xdr:colOff>12700</xdr:colOff>
      <xdr:row>21</xdr:row>
      <xdr:rowOff>0</xdr:rowOff>
    </xdr:to>
    <xdr:sp macro="" textlink="">
      <xdr:nvSpPr>
        <xdr:cNvPr id="31" name="TextBox 30">
          <a:extLst>
            <a:ext uri="{FF2B5EF4-FFF2-40B4-BE49-F238E27FC236}">
              <a16:creationId xmlns:a16="http://schemas.microsoft.com/office/drawing/2014/main" id="{68160A8E-F5F1-4B1D-B43D-CC666F0676EC}"/>
            </a:ext>
          </a:extLst>
        </xdr:cNvPr>
        <xdr:cNvSpPr txBox="1"/>
      </xdr:nvSpPr>
      <xdr:spPr>
        <a:xfrm>
          <a:off x="1663700" y="3479800"/>
          <a:ext cx="3835400" cy="330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i="0">
              <a:solidFill>
                <a:srgbClr val="6A4A3A"/>
              </a:solidFill>
              <a:latin typeface="Georgia" panose="02040502050405020303" pitchFamily="18" charset="0"/>
            </a:rPr>
            <a:t>Top 6 Sold Coffee Type by Quantity</a:t>
          </a:r>
          <a:endParaRPr lang="en-NG" sz="1400" b="1" i="0">
            <a:solidFill>
              <a:srgbClr val="6A4A3A"/>
            </a:solidFill>
            <a:latin typeface="Georgia" panose="02040502050405020303" pitchFamily="18" charset="0"/>
          </a:endParaRPr>
        </a:p>
      </xdr:txBody>
    </xdr:sp>
    <xdr:clientData/>
  </xdr:twoCellAnchor>
  <xdr:twoCellAnchor>
    <xdr:from>
      <xdr:col>28</xdr:col>
      <xdr:colOff>584200</xdr:colOff>
      <xdr:row>1</xdr:row>
      <xdr:rowOff>107950</xdr:rowOff>
    </xdr:from>
    <xdr:to>
      <xdr:col>32</xdr:col>
      <xdr:colOff>76200</xdr:colOff>
      <xdr:row>4</xdr:row>
      <xdr:rowOff>107950</xdr:rowOff>
    </xdr:to>
    <xdr:sp macro="" textlink="">
      <xdr:nvSpPr>
        <xdr:cNvPr id="32" name="TextBox 31">
          <a:extLst>
            <a:ext uri="{FF2B5EF4-FFF2-40B4-BE49-F238E27FC236}">
              <a16:creationId xmlns:a16="http://schemas.microsoft.com/office/drawing/2014/main" id="{9D961886-BD6A-46F3-B4B6-15F983A5F274}"/>
            </a:ext>
          </a:extLst>
        </xdr:cNvPr>
        <xdr:cNvSpPr txBox="1"/>
      </xdr:nvSpPr>
      <xdr:spPr>
        <a:xfrm>
          <a:off x="17771533" y="107950"/>
          <a:ext cx="1947334" cy="539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i="0">
              <a:solidFill>
                <a:srgbClr val="6A4A3A"/>
              </a:solidFill>
              <a:latin typeface="Georgia" panose="02040502050405020303" pitchFamily="18" charset="0"/>
            </a:rPr>
            <a:t>Day with Highest Sales</a:t>
          </a:r>
          <a:endParaRPr lang="en-NG" sz="1400" b="1" i="0">
            <a:solidFill>
              <a:srgbClr val="6A4A3A"/>
            </a:solidFill>
            <a:latin typeface="Georgia" panose="02040502050405020303" pitchFamily="18" charset="0"/>
          </a:endParaRPr>
        </a:p>
      </xdr:txBody>
    </xdr:sp>
    <xdr:clientData/>
  </xdr:twoCellAnchor>
  <xdr:twoCellAnchor>
    <xdr:from>
      <xdr:col>21</xdr:col>
      <xdr:colOff>16933</xdr:colOff>
      <xdr:row>19</xdr:row>
      <xdr:rowOff>86783</xdr:rowOff>
    </xdr:from>
    <xdr:to>
      <xdr:col>27</xdr:col>
      <xdr:colOff>198966</xdr:colOff>
      <xdr:row>21</xdr:row>
      <xdr:rowOff>35983</xdr:rowOff>
    </xdr:to>
    <xdr:sp macro="" textlink="">
      <xdr:nvSpPr>
        <xdr:cNvPr id="33" name="TextBox 32">
          <a:extLst>
            <a:ext uri="{FF2B5EF4-FFF2-40B4-BE49-F238E27FC236}">
              <a16:creationId xmlns:a16="http://schemas.microsoft.com/office/drawing/2014/main" id="{54ACEA3E-5E90-49CA-A39D-53F8D8652E53}"/>
            </a:ext>
          </a:extLst>
        </xdr:cNvPr>
        <xdr:cNvSpPr txBox="1"/>
      </xdr:nvSpPr>
      <xdr:spPr>
        <a:xfrm>
          <a:off x="12907433" y="3325283"/>
          <a:ext cx="3865033" cy="3090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i="0">
              <a:solidFill>
                <a:srgbClr val="6A4A3A"/>
              </a:solidFill>
              <a:latin typeface="Georgia" panose="02040502050405020303" pitchFamily="18" charset="0"/>
            </a:rPr>
            <a:t>Preferred</a:t>
          </a:r>
          <a:r>
            <a:rPr lang="en-GB" sz="1400" b="1" i="0" baseline="0">
              <a:solidFill>
                <a:srgbClr val="6A4A3A"/>
              </a:solidFill>
              <a:latin typeface="Georgia" panose="02040502050405020303" pitchFamily="18" charset="0"/>
            </a:rPr>
            <a:t> Mode of Payment</a:t>
          </a:r>
          <a:endParaRPr lang="en-NG" sz="1400" b="1" i="0">
            <a:solidFill>
              <a:srgbClr val="6A4A3A"/>
            </a:solidFill>
            <a:latin typeface="Georgia" panose="02040502050405020303" pitchFamily="18" charset="0"/>
          </a:endParaRPr>
        </a:p>
      </xdr:txBody>
    </xdr:sp>
    <xdr:clientData/>
  </xdr:twoCellAnchor>
  <xdr:twoCellAnchor>
    <xdr:from>
      <xdr:col>12</xdr:col>
      <xdr:colOff>101600</xdr:colOff>
      <xdr:row>21</xdr:row>
      <xdr:rowOff>2116</xdr:rowOff>
    </xdr:from>
    <xdr:to>
      <xdr:col>20</xdr:col>
      <xdr:colOff>266700</xdr:colOff>
      <xdr:row>30</xdr:row>
      <xdr:rowOff>103716</xdr:rowOff>
    </xdr:to>
    <xdr:graphicFrame macro="">
      <xdr:nvGraphicFramePr>
        <xdr:cNvPr id="34" name="Chart 33">
          <a:extLst>
            <a:ext uri="{FF2B5EF4-FFF2-40B4-BE49-F238E27FC236}">
              <a16:creationId xmlns:a16="http://schemas.microsoft.com/office/drawing/2014/main" id="{A1E406B2-A2EA-4E8B-876C-6C2F262895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20</xdr:col>
      <xdr:colOff>148166</xdr:colOff>
      <xdr:row>8</xdr:row>
      <xdr:rowOff>137583</xdr:rowOff>
    </xdr:from>
    <xdr:to>
      <xdr:col>28</xdr:col>
      <xdr:colOff>253999</xdr:colOff>
      <xdr:row>18</xdr:row>
      <xdr:rowOff>63500</xdr:rowOff>
    </xdr:to>
    <xdr:graphicFrame macro="">
      <xdr:nvGraphicFramePr>
        <xdr:cNvPr id="36" name="Chart 35">
          <a:extLst>
            <a:ext uri="{FF2B5EF4-FFF2-40B4-BE49-F238E27FC236}">
              <a16:creationId xmlns:a16="http://schemas.microsoft.com/office/drawing/2014/main" id="{28B7EED0-77D3-48D0-92FB-8288A3461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xdr:col>
      <xdr:colOff>339725</xdr:colOff>
      <xdr:row>33</xdr:row>
      <xdr:rowOff>50800</xdr:rowOff>
    </xdr:from>
    <xdr:to>
      <xdr:col>11</xdr:col>
      <xdr:colOff>377825</xdr:colOff>
      <xdr:row>42</xdr:row>
      <xdr:rowOff>12700</xdr:rowOff>
    </xdr:to>
    <mc:AlternateContent xmlns:mc="http://schemas.openxmlformats.org/markup-compatibility/2006">
      <mc:Choice xmlns:cx1="http://schemas.microsoft.com/office/drawing/2015/9/8/chartex" Requires="cx1">
        <xdr:graphicFrame macro="">
          <xdr:nvGraphicFramePr>
            <xdr:cNvPr id="37" name="Chart 36">
              <a:extLst>
                <a:ext uri="{FF2B5EF4-FFF2-40B4-BE49-F238E27FC236}">
                  <a16:creationId xmlns:a16="http://schemas.microsoft.com/office/drawing/2014/main" id="{7B7F0592-448A-4DB8-9A20-94EF29464C4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2149475" y="6146800"/>
              <a:ext cx="4864100" cy="167640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28</xdr:col>
      <xdr:colOff>431799</xdr:colOff>
      <xdr:row>4</xdr:row>
      <xdr:rowOff>88900</xdr:rowOff>
    </xdr:from>
    <xdr:to>
      <xdr:col>33</xdr:col>
      <xdr:colOff>238124</xdr:colOff>
      <xdr:row>41</xdr:row>
      <xdr:rowOff>114300</xdr:rowOff>
    </xdr:to>
    <xdr:graphicFrame macro="">
      <xdr:nvGraphicFramePr>
        <xdr:cNvPr id="38" name="Chart 37">
          <a:extLst>
            <a:ext uri="{FF2B5EF4-FFF2-40B4-BE49-F238E27FC236}">
              <a16:creationId xmlns:a16="http://schemas.microsoft.com/office/drawing/2014/main" id="{34C8B8F0-FF31-4394-9D4D-B0E571FB65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20</xdr:col>
      <xdr:colOff>588434</xdr:colOff>
      <xdr:row>21</xdr:row>
      <xdr:rowOff>27517</xdr:rowOff>
    </xdr:from>
    <xdr:to>
      <xdr:col>28</xdr:col>
      <xdr:colOff>222250</xdr:colOff>
      <xdr:row>30</xdr:row>
      <xdr:rowOff>131233</xdr:rowOff>
    </xdr:to>
    <xdr:graphicFrame macro="">
      <xdr:nvGraphicFramePr>
        <xdr:cNvPr id="39" name="Chart 38">
          <a:extLst>
            <a:ext uri="{FF2B5EF4-FFF2-40B4-BE49-F238E27FC236}">
              <a16:creationId xmlns:a16="http://schemas.microsoft.com/office/drawing/2014/main" id="{25D9B87B-1992-484C-B177-7732C145D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0</xdr:col>
      <xdr:colOff>520700</xdr:colOff>
      <xdr:row>39</xdr:row>
      <xdr:rowOff>139700</xdr:rowOff>
    </xdr:from>
    <xdr:to>
      <xdr:col>3</xdr:col>
      <xdr:colOff>171349</xdr:colOff>
      <xdr:row>42</xdr:row>
      <xdr:rowOff>50397</xdr:rowOff>
    </xdr:to>
    <xdr:sp macro="" textlink="">
      <xdr:nvSpPr>
        <xdr:cNvPr id="40" name="TextBox 39">
          <a:extLst>
            <a:ext uri="{FF2B5EF4-FFF2-40B4-BE49-F238E27FC236}">
              <a16:creationId xmlns:a16="http://schemas.microsoft.com/office/drawing/2014/main" id="{8979E554-6478-40C0-9B0E-40EA77A5ACD4}"/>
            </a:ext>
          </a:extLst>
        </xdr:cNvPr>
        <xdr:cNvSpPr txBox="1"/>
      </xdr:nvSpPr>
      <xdr:spPr>
        <a:xfrm>
          <a:off x="520700" y="7378700"/>
          <a:ext cx="1479449" cy="482197"/>
        </a:xfrm>
        <a:prstGeom prst="rect">
          <a:avLst/>
        </a:prstGeom>
        <a:solidFill>
          <a:srgbClr val="D2BAB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i="1">
              <a:solidFill>
                <a:schemeClr val="bg2">
                  <a:lumMod val="50000"/>
                </a:schemeClr>
              </a:solidFill>
              <a:latin typeface="Georgia" panose="02040502050405020303" pitchFamily="18" charset="0"/>
              <a:ea typeface="+mn-ea"/>
              <a:cs typeface="+mn-cs"/>
            </a:rPr>
            <a:t>Odinakachi</a:t>
          </a:r>
          <a:r>
            <a:rPr lang="en-GB" sz="1200" i="1" baseline="0">
              <a:solidFill>
                <a:schemeClr val="bg2">
                  <a:lumMod val="50000"/>
                </a:schemeClr>
              </a:solidFill>
              <a:latin typeface="Georgia" panose="02040502050405020303" pitchFamily="18" charset="0"/>
            </a:rPr>
            <a:t> Nnuforole</a:t>
          </a:r>
          <a:endParaRPr lang="en-NG" sz="1200" i="1">
            <a:solidFill>
              <a:schemeClr val="bg2">
                <a:lumMod val="50000"/>
              </a:schemeClr>
            </a:solidFill>
            <a:latin typeface="Georgia" panose="02040502050405020303" pitchFamily="18" charset="0"/>
          </a:endParaRPr>
        </a:p>
      </xdr:txBody>
    </xdr:sp>
    <xdr:clientData/>
  </xdr:twoCellAnchor>
  <xdr:twoCellAnchor editAs="oneCell">
    <xdr:from>
      <xdr:col>0</xdr:col>
      <xdr:colOff>523874</xdr:colOff>
      <xdr:row>27</xdr:row>
      <xdr:rowOff>126999</xdr:rowOff>
    </xdr:from>
    <xdr:to>
      <xdr:col>3</xdr:col>
      <xdr:colOff>183041</xdr:colOff>
      <xdr:row>39</xdr:row>
      <xdr:rowOff>84666</xdr:rowOff>
    </xdr:to>
    <mc:AlternateContent xmlns:mc="http://schemas.openxmlformats.org/markup-compatibility/2006" xmlns:a14="http://schemas.microsoft.com/office/drawing/2010/main">
      <mc:Choice Requires="a14">
        <xdr:graphicFrame macro="">
          <xdr:nvGraphicFramePr>
            <xdr:cNvPr id="42" name="Day of week">
              <a:extLst>
                <a:ext uri="{FF2B5EF4-FFF2-40B4-BE49-F238E27FC236}">
                  <a16:creationId xmlns:a16="http://schemas.microsoft.com/office/drawing/2014/main" id="{A499F3F0-E5A2-4E5C-800D-426DBADD290D}"/>
                </a:ext>
              </a:extLst>
            </xdr:cNvPr>
            <xdr:cNvGraphicFramePr/>
          </xdr:nvGraphicFramePr>
          <xdr:xfrm>
            <a:off x="0" y="0"/>
            <a:ext cx="0" cy="0"/>
          </xdr:xfrm>
          <a:graphic>
            <a:graphicData uri="http://schemas.microsoft.com/office/drawing/2010/slicer">
              <sle:slicer xmlns:sle="http://schemas.microsoft.com/office/drawing/2010/slicer" name="Day of week"/>
            </a:graphicData>
          </a:graphic>
        </xdr:graphicFrame>
      </mc:Choice>
      <mc:Fallback xmlns="">
        <xdr:sp macro="" textlink="">
          <xdr:nvSpPr>
            <xdr:cNvPr id="0" name=""/>
            <xdr:cNvSpPr>
              <a:spLocks noTextEdit="1"/>
            </xdr:cNvSpPr>
          </xdr:nvSpPr>
          <xdr:spPr>
            <a:xfrm>
              <a:off x="665238" y="4828016"/>
              <a:ext cx="1332090" cy="209650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241300</xdr:colOff>
      <xdr:row>3</xdr:row>
      <xdr:rowOff>158751</xdr:rowOff>
    </xdr:from>
    <xdr:to>
      <xdr:col>28</xdr:col>
      <xdr:colOff>241300</xdr:colOff>
      <xdr:row>6</xdr:row>
      <xdr:rowOff>50800</xdr:rowOff>
    </xdr:to>
    <mc:AlternateContent xmlns:mc="http://schemas.openxmlformats.org/markup-compatibility/2006">
      <mc:Choice xmlns:a14="http://schemas.microsoft.com/office/drawing/2010/main" Requires="a14">
        <xdr:graphicFrame macro="">
          <xdr:nvGraphicFramePr>
            <xdr:cNvPr id="43" name="Month">
              <a:extLst>
                <a:ext uri="{FF2B5EF4-FFF2-40B4-BE49-F238E27FC236}">
                  <a16:creationId xmlns:a16="http://schemas.microsoft.com/office/drawing/2014/main" id="{CC8CBD58-37CC-4151-B5C3-077DCEB2A85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5559282" y="726909"/>
              <a:ext cx="1838158" cy="46020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368300</xdr:colOff>
      <xdr:row>20</xdr:row>
      <xdr:rowOff>120951</xdr:rowOff>
    </xdr:from>
    <xdr:to>
      <xdr:col>11</xdr:col>
      <xdr:colOff>457200</xdr:colOff>
      <xdr:row>30</xdr:row>
      <xdr:rowOff>101600</xdr:rowOff>
    </xdr:to>
    <mc:AlternateContent xmlns:mc="http://schemas.openxmlformats.org/markup-compatibility/2006">
      <mc:Choice xmlns:cx2="http://schemas.microsoft.com/office/drawing/2015/10/21/chartex" Requires="cx2">
        <xdr:graphicFrame macro="">
          <xdr:nvGraphicFramePr>
            <xdr:cNvPr id="44" name="Chart 43">
              <a:extLst>
                <a:ext uri="{FF2B5EF4-FFF2-40B4-BE49-F238E27FC236}">
                  <a16:creationId xmlns:a16="http://schemas.microsoft.com/office/drawing/2014/main" id="{BA7DB930-E56D-493C-81E2-26F5CFF73C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1"/>
            </a:graphicData>
          </a:graphic>
        </xdr:graphicFrame>
      </mc:Choice>
      <mc:Fallback>
        <xdr:sp macro="" textlink="">
          <xdr:nvSpPr>
            <xdr:cNvPr id="0" name=""/>
            <xdr:cNvSpPr>
              <a:spLocks noTextEdit="1"/>
            </xdr:cNvSpPr>
          </xdr:nvSpPr>
          <xdr:spPr>
            <a:xfrm>
              <a:off x="2209800" y="3539368"/>
              <a:ext cx="4999567" cy="1779815"/>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111125</xdr:colOff>
      <xdr:row>11</xdr:row>
      <xdr:rowOff>115107</xdr:rowOff>
    </xdr:from>
    <xdr:to>
      <xdr:col>3</xdr:col>
      <xdr:colOff>86684</xdr:colOff>
      <xdr:row>13</xdr:row>
      <xdr:rowOff>15875</xdr:rowOff>
    </xdr:to>
    <xdr:sp macro="" textlink="">
      <xdr:nvSpPr>
        <xdr:cNvPr id="45" name="TextBox 44">
          <a:extLst>
            <a:ext uri="{FF2B5EF4-FFF2-40B4-BE49-F238E27FC236}">
              <a16:creationId xmlns:a16="http://schemas.microsoft.com/office/drawing/2014/main" id="{6A4676C5-DA61-419A-9018-30E0C311BD18}"/>
            </a:ext>
          </a:extLst>
        </xdr:cNvPr>
        <xdr:cNvSpPr txBox="1"/>
      </xdr:nvSpPr>
      <xdr:spPr>
        <a:xfrm>
          <a:off x="714375" y="2020107"/>
          <a:ext cx="1182059" cy="281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i="0">
              <a:solidFill>
                <a:srgbClr val="6A4A3A"/>
              </a:solidFill>
              <a:latin typeface="Georgia" panose="02040502050405020303" pitchFamily="18" charset="0"/>
            </a:rPr>
            <a:t>In analysis</a:t>
          </a:r>
          <a:endParaRPr lang="en-NG" sz="1400" i="0">
            <a:solidFill>
              <a:srgbClr val="6A4A3A"/>
            </a:solidFill>
            <a:latin typeface="Georgia" panose="02040502050405020303" pitchFamily="18" charset="0"/>
          </a:endParaRPr>
        </a:p>
      </xdr:txBody>
    </xdr:sp>
    <xdr:clientData/>
  </xdr:twoCellAnchor>
  <xdr:twoCellAnchor>
    <xdr:from>
      <xdr:col>0</xdr:col>
      <xdr:colOff>492125</xdr:colOff>
      <xdr:row>21</xdr:row>
      <xdr:rowOff>7961</xdr:rowOff>
    </xdr:from>
    <xdr:to>
      <xdr:col>3</xdr:col>
      <xdr:colOff>238125</xdr:colOff>
      <xdr:row>22</xdr:row>
      <xdr:rowOff>142874</xdr:rowOff>
    </xdr:to>
    <xdr:sp macro="" textlink="">
      <xdr:nvSpPr>
        <xdr:cNvPr id="46" name="TextBox 45">
          <a:extLst>
            <a:ext uri="{FF2B5EF4-FFF2-40B4-BE49-F238E27FC236}">
              <a16:creationId xmlns:a16="http://schemas.microsoft.com/office/drawing/2014/main" id="{1E6BBB81-CBCB-4BBC-BBDA-5265A9A78C49}"/>
            </a:ext>
          </a:extLst>
        </xdr:cNvPr>
        <xdr:cNvSpPr txBox="1"/>
      </xdr:nvSpPr>
      <xdr:spPr>
        <a:xfrm>
          <a:off x="492125" y="3817961"/>
          <a:ext cx="1555750" cy="325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300" i="0">
              <a:solidFill>
                <a:srgbClr val="6A4A3A"/>
              </a:solidFill>
              <a:latin typeface="Georgia" panose="02040502050405020303" pitchFamily="18" charset="0"/>
            </a:rPr>
            <a:t>Recommendation</a:t>
          </a:r>
          <a:endParaRPr lang="en-NG" sz="1300" i="0">
            <a:solidFill>
              <a:srgbClr val="6A4A3A"/>
            </a:solidFill>
            <a:latin typeface="Georgia" panose="02040502050405020303" pitchFamily="18" charset="0"/>
          </a:endParaRPr>
        </a:p>
      </xdr:txBody>
    </xdr:sp>
    <xdr:clientData/>
  </xdr:twoCellAnchor>
  <xdr:twoCellAnchor>
    <xdr:from>
      <xdr:col>1</xdr:col>
      <xdr:colOff>15875</xdr:colOff>
      <xdr:row>16</xdr:row>
      <xdr:rowOff>57050</xdr:rowOff>
    </xdr:from>
    <xdr:to>
      <xdr:col>3</xdr:col>
      <xdr:colOff>70206</xdr:colOff>
      <xdr:row>17</xdr:row>
      <xdr:rowOff>127000</xdr:rowOff>
    </xdr:to>
    <xdr:sp macro="" textlink="">
      <xdr:nvSpPr>
        <xdr:cNvPr id="47" name="TextBox 46">
          <a:extLst>
            <a:ext uri="{FF2B5EF4-FFF2-40B4-BE49-F238E27FC236}">
              <a16:creationId xmlns:a16="http://schemas.microsoft.com/office/drawing/2014/main" id="{B9D2BF5D-A31E-4DF2-B270-60375D7E51D3}"/>
            </a:ext>
          </a:extLst>
        </xdr:cNvPr>
        <xdr:cNvSpPr txBox="1"/>
      </xdr:nvSpPr>
      <xdr:spPr>
        <a:xfrm>
          <a:off x="619125" y="2914550"/>
          <a:ext cx="1260831" cy="260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i="0">
              <a:solidFill>
                <a:srgbClr val="6A4A3A"/>
              </a:solidFill>
              <a:latin typeface="Georgia" panose="02040502050405020303" pitchFamily="18" charset="0"/>
            </a:rPr>
            <a:t>Observation</a:t>
          </a:r>
          <a:endParaRPr lang="en-NG" sz="1400" i="0">
            <a:solidFill>
              <a:srgbClr val="6A4A3A"/>
            </a:solidFill>
            <a:latin typeface="Georgia" panose="02040502050405020303" pitchFamily="18" charset="0"/>
          </a:endParaRPr>
        </a:p>
      </xdr:txBody>
    </xdr:sp>
    <xdr:clientData/>
  </xdr:twoCellAnchor>
  <xdr:twoCellAnchor>
    <xdr:from>
      <xdr:col>1</xdr:col>
      <xdr:colOff>317500</xdr:colOff>
      <xdr:row>26</xdr:row>
      <xdr:rowOff>11894</xdr:rowOff>
    </xdr:from>
    <xdr:to>
      <xdr:col>2</xdr:col>
      <xdr:colOff>528663</xdr:colOff>
      <xdr:row>27</xdr:row>
      <xdr:rowOff>142875</xdr:rowOff>
    </xdr:to>
    <xdr:sp macro="" textlink="">
      <xdr:nvSpPr>
        <xdr:cNvPr id="48" name="TextBox 47">
          <a:extLst>
            <a:ext uri="{FF2B5EF4-FFF2-40B4-BE49-F238E27FC236}">
              <a16:creationId xmlns:a16="http://schemas.microsoft.com/office/drawing/2014/main" id="{CAC09C1B-2C03-4643-A767-266B038610E4}"/>
            </a:ext>
          </a:extLst>
        </xdr:cNvPr>
        <xdr:cNvSpPr txBox="1"/>
      </xdr:nvSpPr>
      <xdr:spPr>
        <a:xfrm>
          <a:off x="920750" y="4774394"/>
          <a:ext cx="814413" cy="321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i="0">
              <a:solidFill>
                <a:srgbClr val="6A4A3A"/>
              </a:solidFill>
              <a:latin typeface="Georgia" panose="02040502050405020303" pitchFamily="18" charset="0"/>
            </a:rPr>
            <a:t>Email</a:t>
          </a:r>
          <a:endParaRPr lang="en-NG" sz="1400" i="0">
            <a:solidFill>
              <a:srgbClr val="6A4A3A"/>
            </a:solidFill>
            <a:latin typeface="Georgia" panose="02040502050405020303" pitchFamily="18"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146050</xdr:colOff>
      <xdr:row>0</xdr:row>
      <xdr:rowOff>57150</xdr:rowOff>
    </xdr:from>
    <xdr:to>
      <xdr:col>7</xdr:col>
      <xdr:colOff>31750</xdr:colOff>
      <xdr:row>14</xdr:row>
      <xdr:rowOff>38100</xdr:rowOff>
    </xdr:to>
    <xdr:sp macro="" textlink="">
      <xdr:nvSpPr>
        <xdr:cNvPr id="2" name="Rectangle: Rounded Corners 1">
          <a:extLst>
            <a:ext uri="{FF2B5EF4-FFF2-40B4-BE49-F238E27FC236}">
              <a16:creationId xmlns:a16="http://schemas.microsoft.com/office/drawing/2014/main" id="{3C10B41E-FD43-40AC-9580-A5686A9F3027}"/>
            </a:ext>
          </a:extLst>
        </xdr:cNvPr>
        <xdr:cNvSpPr/>
      </xdr:nvSpPr>
      <xdr:spPr>
        <a:xfrm>
          <a:off x="146050" y="57150"/>
          <a:ext cx="4152900" cy="2559050"/>
        </a:xfrm>
        <a:prstGeom prst="roundRect">
          <a:avLst>
            <a:gd name="adj" fmla="val 5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900">
              <a:solidFill>
                <a:schemeClr val="accent2">
                  <a:lumMod val="50000"/>
                </a:schemeClr>
              </a:solidFill>
            </a:rPr>
            <a:t>GENERAL OBSERVATION</a:t>
          </a:r>
        </a:p>
        <a:p>
          <a:pPr algn="l"/>
          <a:r>
            <a:rPr lang="en-GB" sz="900">
              <a:solidFill>
                <a:schemeClr val="accent2">
                  <a:lumMod val="50000"/>
                </a:schemeClr>
              </a:solidFill>
            </a:rPr>
            <a:t>In February,</a:t>
          </a:r>
          <a:r>
            <a:rPr lang="en-GB" sz="900" baseline="0">
              <a:solidFill>
                <a:schemeClr val="accent2">
                  <a:lumMod val="50000"/>
                </a:schemeClr>
              </a:solidFill>
            </a:rPr>
            <a:t> the highest sales was on Sunday at $776.00 followed by Friday at $751.00. Unlike the initial observation where most sales were accrued during the weekends, revenue from Saturday was $485.00 which was the 4th best day in terms of revenue. Top selling beverage is Americano milk at $600.00, preferred mode of payment is card. The busiest time of day is 18:01:22. On the 9th of February, the sales was the highest at $444.00 amongst both months considered in the analysis. The quantity os sales made in February was a 138 units of beverages.</a:t>
          </a:r>
          <a:endParaRPr lang="en-NG" sz="900">
            <a:solidFill>
              <a:schemeClr val="accent2">
                <a:lumMod val="50000"/>
              </a:schemeClr>
            </a:solidFill>
          </a:endParaRPr>
        </a:p>
      </xdr:txBody>
    </xdr:sp>
    <xdr:clientData/>
  </xdr:twoCellAnchor>
  <xdr:twoCellAnchor>
    <xdr:from>
      <xdr:col>9</xdr:col>
      <xdr:colOff>12700</xdr:colOff>
      <xdr:row>15</xdr:row>
      <xdr:rowOff>101600</xdr:rowOff>
    </xdr:from>
    <xdr:to>
      <xdr:col>15</xdr:col>
      <xdr:colOff>501650</xdr:colOff>
      <xdr:row>29</xdr:row>
      <xdr:rowOff>139700</xdr:rowOff>
    </xdr:to>
    <xdr:sp macro="" textlink="">
      <xdr:nvSpPr>
        <xdr:cNvPr id="3" name="Rectangle: Rounded Corners 2">
          <a:extLst>
            <a:ext uri="{FF2B5EF4-FFF2-40B4-BE49-F238E27FC236}">
              <a16:creationId xmlns:a16="http://schemas.microsoft.com/office/drawing/2014/main" id="{C5E992F0-1401-4DCE-AE02-853AB24EAC54}"/>
            </a:ext>
          </a:extLst>
        </xdr:cNvPr>
        <xdr:cNvSpPr/>
      </xdr:nvSpPr>
      <xdr:spPr>
        <a:xfrm>
          <a:off x="5499100" y="2863850"/>
          <a:ext cx="4146550" cy="2616200"/>
        </a:xfrm>
        <a:prstGeom prst="roundRect">
          <a:avLst>
            <a:gd name="adj" fmla="val 5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900">
              <a:solidFill>
                <a:schemeClr val="accent2">
                  <a:lumMod val="50000"/>
                </a:schemeClr>
              </a:solidFill>
            </a:rPr>
            <a:t>GENERAL OBSERVATION</a:t>
          </a:r>
        </a:p>
        <a:p>
          <a:pPr algn="l"/>
          <a:r>
            <a:rPr lang="en-GB" sz="900" b="0">
              <a:solidFill>
                <a:schemeClr val="accent2">
                  <a:lumMod val="50000"/>
                </a:schemeClr>
              </a:solidFill>
            </a:rPr>
            <a:t>For the beverages, Americano with milk contributed to 54.55% of the revenue in February and 45.45% in March. Its best selling days were Fridays and Sundays, busiest</a:t>
          </a:r>
          <a:r>
            <a:rPr lang="en-GB" sz="900" b="0" baseline="0">
              <a:solidFill>
                <a:schemeClr val="accent2">
                  <a:lumMod val="50000"/>
                </a:schemeClr>
              </a:solidFill>
            </a:rPr>
            <a:t> time was 09:41:12. They made significant sales in various dates such as: </a:t>
          </a:r>
          <a:br>
            <a:rPr lang="en-GB" sz="900" b="0" baseline="0">
              <a:solidFill>
                <a:schemeClr val="accent2">
                  <a:lumMod val="50000"/>
                </a:schemeClr>
              </a:solidFill>
            </a:rPr>
          </a:br>
          <a:r>
            <a:rPr lang="en-GB" sz="900" b="0" baseline="0">
              <a:solidFill>
                <a:schemeClr val="accent2">
                  <a:lumMod val="50000"/>
                </a:schemeClr>
              </a:solidFill>
            </a:rPr>
            <a:t>20th, 21st, 28th February then 12th and 16th March, these days revenue of $75 was made each day from the sale of this particular beverage.</a:t>
          </a:r>
          <a:endParaRPr lang="en-NG" sz="900" b="0">
            <a:solidFill>
              <a:schemeClr val="accent2">
                <a:lumMod val="50000"/>
              </a:schemeClr>
            </a:solidFill>
          </a:endParaRPr>
        </a:p>
      </xdr:txBody>
    </xdr:sp>
    <xdr:clientData/>
  </xdr:twoCellAnchor>
  <xdr:twoCellAnchor>
    <xdr:from>
      <xdr:col>0</xdr:col>
      <xdr:colOff>120650</xdr:colOff>
      <xdr:row>15</xdr:row>
      <xdr:rowOff>146050</xdr:rowOff>
    </xdr:from>
    <xdr:to>
      <xdr:col>7</xdr:col>
      <xdr:colOff>6350</xdr:colOff>
      <xdr:row>29</xdr:row>
      <xdr:rowOff>127000</xdr:rowOff>
    </xdr:to>
    <xdr:sp macro="" textlink="">
      <xdr:nvSpPr>
        <xdr:cNvPr id="4" name="Rectangle: Rounded Corners 3">
          <a:extLst>
            <a:ext uri="{FF2B5EF4-FFF2-40B4-BE49-F238E27FC236}">
              <a16:creationId xmlns:a16="http://schemas.microsoft.com/office/drawing/2014/main" id="{D2C13E52-0A6D-44EE-B6BF-49046441215E}"/>
            </a:ext>
          </a:extLst>
        </xdr:cNvPr>
        <xdr:cNvSpPr/>
      </xdr:nvSpPr>
      <xdr:spPr>
        <a:xfrm>
          <a:off x="120650" y="2908300"/>
          <a:ext cx="4152900" cy="2559050"/>
        </a:xfrm>
        <a:prstGeom prst="roundRect">
          <a:avLst>
            <a:gd name="adj" fmla="val 5667"/>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900">
              <a:solidFill>
                <a:schemeClr val="bg1"/>
              </a:solidFill>
            </a:rPr>
            <a:t>GENERAL OBSERVATION</a:t>
          </a:r>
        </a:p>
        <a:p>
          <a:pPr algn="l"/>
          <a:r>
            <a:rPr lang="en-GB" sz="900">
              <a:solidFill>
                <a:schemeClr val="bg1"/>
              </a:solidFill>
            </a:rPr>
            <a:t>For days of the week, Sundays</a:t>
          </a:r>
          <a:r>
            <a:rPr lang="en-GB" sz="900" baseline="0">
              <a:solidFill>
                <a:schemeClr val="bg1"/>
              </a:solidFill>
            </a:rPr>
            <a:t> contributed 51.89% of the revenue in February, and $48.11% in March. They made card payment of $1,136.00. Favourite drinks ordered within the period were: Americano with milk, latte, cappuccino, americano, and coffee with irish whiskey. It is worthy of note that February 9th and March 2nd that had highest revenue for both months were Sundays, and busiest time was 18:01:22.</a:t>
          </a:r>
        </a:p>
        <a:p>
          <a:pPr algn="l"/>
          <a:r>
            <a:rPr lang="en-GB" sz="900" baseline="0">
              <a:solidFill>
                <a:schemeClr val="bg1"/>
              </a:solidFill>
            </a:rPr>
            <a:t>Busiest time of day on Saturdays was around 18:38:38, they contributed to 60.89% of revenue in March. Most ordered beverages were: Americano with milk, irish whiskey with milk, irish whiskey, espresso and tea</a:t>
          </a:r>
          <a:endParaRPr lang="en-NG" sz="900">
            <a:solidFill>
              <a:schemeClr val="bg1"/>
            </a:solidFill>
          </a:endParaRPr>
        </a:p>
      </xdr:txBody>
    </xdr:sp>
    <xdr:clientData/>
  </xdr:twoCellAnchor>
  <xdr:twoCellAnchor>
    <xdr:from>
      <xdr:col>9</xdr:col>
      <xdr:colOff>0</xdr:colOff>
      <xdr:row>0</xdr:row>
      <xdr:rowOff>107950</xdr:rowOff>
    </xdr:from>
    <xdr:to>
      <xdr:col>15</xdr:col>
      <xdr:colOff>495300</xdr:colOff>
      <xdr:row>14</xdr:row>
      <xdr:rowOff>88900</xdr:rowOff>
    </xdr:to>
    <xdr:sp macro="" textlink="">
      <xdr:nvSpPr>
        <xdr:cNvPr id="5" name="Rectangle: Rounded Corners 4">
          <a:extLst>
            <a:ext uri="{FF2B5EF4-FFF2-40B4-BE49-F238E27FC236}">
              <a16:creationId xmlns:a16="http://schemas.microsoft.com/office/drawing/2014/main" id="{D43EB3F9-D294-445C-B444-9EC960829DF5}"/>
            </a:ext>
          </a:extLst>
        </xdr:cNvPr>
        <xdr:cNvSpPr/>
      </xdr:nvSpPr>
      <xdr:spPr>
        <a:xfrm>
          <a:off x="5486400" y="107950"/>
          <a:ext cx="4152900" cy="2559050"/>
        </a:xfrm>
        <a:prstGeom prst="roundRect">
          <a:avLst>
            <a:gd name="adj" fmla="val 5667"/>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900">
              <a:solidFill>
                <a:schemeClr val="bg1"/>
              </a:solidFill>
            </a:rPr>
            <a:t>GENERAL</a:t>
          </a:r>
          <a:r>
            <a:rPr lang="en-GB" sz="900" baseline="0">
              <a:solidFill>
                <a:schemeClr val="bg1"/>
              </a:solidFill>
            </a:rPr>
            <a:t> OBSERVATION</a:t>
          </a:r>
          <a:endParaRPr lang="en-GB" sz="900">
            <a:solidFill>
              <a:schemeClr val="bg1"/>
            </a:solidFill>
          </a:endParaRPr>
        </a:p>
        <a:p>
          <a:pPr algn="l"/>
          <a:r>
            <a:rPr lang="en-GB" sz="900">
              <a:solidFill>
                <a:schemeClr val="bg1"/>
              </a:solidFill>
            </a:rPr>
            <a:t>In March, a</a:t>
          </a:r>
          <a:r>
            <a:rPr lang="en-GB" sz="900" baseline="0">
              <a:solidFill>
                <a:schemeClr val="bg1"/>
              </a:solidFill>
            </a:rPr>
            <a:t> total of 124 units of beverages were sold. The day with its highest sales was on Sunday at $837.00, followed by Saturday at $755.00, then Wednesday at $562.00. The preferred mode of payment was also card, and its top 5 selling beverages were: Americano with milk, Irish whiskey, Irish whiskey with milk, latte and chocolate with milk. The busiet time of day is 12:48:05. On the 2nd of march, the sales for the month was the highest at $306.00.</a:t>
          </a:r>
          <a:endParaRPr lang="en-NG" sz="900">
            <a:solidFill>
              <a:schemeClr val="bg1"/>
            </a:solidFill>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120650</xdr:colOff>
      <xdr:row>0</xdr:row>
      <xdr:rowOff>114300</xdr:rowOff>
    </xdr:from>
    <xdr:to>
      <xdr:col>7</xdr:col>
      <xdr:colOff>6350</xdr:colOff>
      <xdr:row>25</xdr:row>
      <xdr:rowOff>158750</xdr:rowOff>
    </xdr:to>
    <xdr:sp macro="" textlink="">
      <xdr:nvSpPr>
        <xdr:cNvPr id="2" name="Rectangle: Rounded Corners 1">
          <a:extLst>
            <a:ext uri="{FF2B5EF4-FFF2-40B4-BE49-F238E27FC236}">
              <a16:creationId xmlns:a16="http://schemas.microsoft.com/office/drawing/2014/main" id="{C69A20B5-A615-408C-8729-18599B0682C1}"/>
            </a:ext>
          </a:extLst>
        </xdr:cNvPr>
        <xdr:cNvSpPr/>
      </xdr:nvSpPr>
      <xdr:spPr>
        <a:xfrm>
          <a:off x="120650" y="114300"/>
          <a:ext cx="4152900" cy="4648200"/>
        </a:xfrm>
        <a:prstGeom prst="roundRect">
          <a:avLst>
            <a:gd name="adj" fmla="val 5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chemeClr val="accent2">
                  <a:lumMod val="50000"/>
                </a:schemeClr>
              </a:solidFill>
            </a:rPr>
            <a:t>GENERAL RECOMMENDATION</a:t>
          </a:r>
        </a:p>
        <a:p>
          <a:r>
            <a:rPr lang="en-GB" sz="900" b="1">
              <a:solidFill>
                <a:schemeClr val="accent2">
                  <a:lumMod val="50000"/>
                </a:schemeClr>
              </a:solidFill>
            </a:rPr>
            <a:t>1. Leverage Weekend Momentum</a:t>
          </a:r>
          <a:endParaRPr lang="en-GB" sz="900">
            <a:solidFill>
              <a:schemeClr val="accent2">
                <a:lumMod val="50000"/>
              </a:schemeClr>
            </a:solidFill>
          </a:endParaRPr>
        </a:p>
        <a:p>
          <a:r>
            <a:rPr lang="en-GB" sz="900">
              <a:solidFill>
                <a:schemeClr val="accent2">
                  <a:lumMod val="50000"/>
                </a:schemeClr>
              </a:solidFill>
            </a:rPr>
            <a:t>Since </a:t>
          </a:r>
          <a:r>
            <a:rPr lang="en-GB" sz="900" b="1">
              <a:solidFill>
                <a:schemeClr val="accent2">
                  <a:lumMod val="50000"/>
                </a:schemeClr>
              </a:solidFill>
            </a:rPr>
            <a:t>Fri–Sun drive more sales</a:t>
          </a:r>
          <a:r>
            <a:rPr lang="en-GB" sz="900">
              <a:solidFill>
                <a:schemeClr val="accent2">
                  <a:lumMod val="50000"/>
                </a:schemeClr>
              </a:solidFill>
            </a:rPr>
            <a:t>, increase staff capacity and inventory on weekends to avoid shortages.</a:t>
          </a:r>
          <a:r>
            <a:rPr lang="en-GB" sz="900" baseline="0">
              <a:solidFill>
                <a:schemeClr val="accent2">
                  <a:lumMod val="50000"/>
                </a:schemeClr>
              </a:solidFill>
            </a:rPr>
            <a:t> </a:t>
          </a:r>
          <a:r>
            <a:rPr lang="en-GB" sz="900">
              <a:solidFill>
                <a:schemeClr val="accent2">
                  <a:lumMod val="50000"/>
                </a:schemeClr>
              </a:solidFill>
            </a:rPr>
            <a:t>Introduce </a:t>
          </a:r>
          <a:r>
            <a:rPr lang="en-GB" sz="900" b="1">
              <a:solidFill>
                <a:schemeClr val="accent2">
                  <a:lumMod val="50000"/>
                </a:schemeClr>
              </a:solidFill>
            </a:rPr>
            <a:t>“Weekend Specials” bundles</a:t>
          </a:r>
          <a:r>
            <a:rPr lang="en-GB" sz="900">
              <a:solidFill>
                <a:schemeClr val="accent2">
                  <a:lumMod val="50000"/>
                </a:schemeClr>
              </a:solidFill>
            </a:rPr>
            <a:t> (e.g., coffee + pastry deals, family-size packs) to maximize high foot traffic.</a:t>
          </a:r>
        </a:p>
        <a:p>
          <a:r>
            <a:rPr lang="en-GB" sz="900" b="1">
              <a:solidFill>
                <a:schemeClr val="accent2">
                  <a:lumMod val="50000"/>
                </a:schemeClr>
              </a:solidFill>
            </a:rPr>
            <a:t>2. Target Sunday Peak</a:t>
          </a:r>
          <a:endParaRPr lang="en-GB" sz="900">
            <a:solidFill>
              <a:schemeClr val="accent2">
                <a:lumMod val="50000"/>
              </a:schemeClr>
            </a:solidFill>
          </a:endParaRPr>
        </a:p>
        <a:p>
          <a:r>
            <a:rPr lang="en-GB" sz="900" b="1">
              <a:solidFill>
                <a:schemeClr val="accent2">
                  <a:lumMod val="50000"/>
                </a:schemeClr>
              </a:solidFill>
            </a:rPr>
            <a:t>Sunday is the strongest day ($1,613)</a:t>
          </a:r>
          <a:r>
            <a:rPr lang="en-GB" sz="900">
              <a:solidFill>
                <a:schemeClr val="accent2">
                  <a:lumMod val="50000"/>
                </a:schemeClr>
              </a:solidFill>
            </a:rPr>
            <a:t> - consider </a:t>
          </a:r>
          <a:r>
            <a:rPr lang="en-GB" sz="900" b="1">
              <a:solidFill>
                <a:schemeClr val="accent2">
                  <a:lumMod val="50000"/>
                </a:schemeClr>
              </a:solidFill>
            </a:rPr>
            <a:t>premium pricing for specialty drinks</a:t>
          </a:r>
          <a:r>
            <a:rPr lang="en-GB" sz="900">
              <a:solidFill>
                <a:schemeClr val="accent2">
                  <a:lumMod val="50000"/>
                </a:schemeClr>
              </a:solidFill>
            </a:rPr>
            <a:t> or limited-time offers to boost margins.</a:t>
          </a:r>
          <a:r>
            <a:rPr lang="en-GB" sz="900" baseline="0">
              <a:solidFill>
                <a:schemeClr val="accent2">
                  <a:lumMod val="50000"/>
                </a:schemeClr>
              </a:solidFill>
            </a:rPr>
            <a:t> </a:t>
          </a:r>
          <a:r>
            <a:rPr lang="en-GB" sz="900">
              <a:solidFill>
                <a:schemeClr val="accent2">
                  <a:lumMod val="50000"/>
                </a:schemeClr>
              </a:solidFill>
            </a:rPr>
            <a:t>Add “Sunday Brunch” style promotions to align with post-church or family outings.</a:t>
          </a:r>
        </a:p>
        <a:p>
          <a:r>
            <a:rPr lang="en-GB" sz="900" b="1">
              <a:solidFill>
                <a:schemeClr val="accent2">
                  <a:lumMod val="50000"/>
                </a:schemeClr>
              </a:solidFill>
            </a:rPr>
            <a:t>3. Revive Weak Days (Tue &amp; Thu)</a:t>
          </a:r>
          <a:endParaRPr lang="en-GB" sz="900">
            <a:solidFill>
              <a:schemeClr val="accent2">
                <a:lumMod val="50000"/>
              </a:schemeClr>
            </a:solidFill>
          </a:endParaRPr>
        </a:p>
        <a:p>
          <a:r>
            <a:rPr lang="en-GB" sz="900">
              <a:solidFill>
                <a:schemeClr val="accent2">
                  <a:lumMod val="50000"/>
                </a:schemeClr>
              </a:solidFill>
            </a:rPr>
            <a:t>Offer </a:t>
          </a:r>
          <a:r>
            <a:rPr lang="en-GB" sz="900" b="1">
              <a:solidFill>
                <a:schemeClr val="accent2">
                  <a:lumMod val="50000"/>
                </a:schemeClr>
              </a:solidFill>
            </a:rPr>
            <a:t>mid-week discounts</a:t>
          </a:r>
          <a:r>
            <a:rPr lang="en-GB" sz="900">
              <a:solidFill>
                <a:schemeClr val="accent2">
                  <a:lumMod val="50000"/>
                </a:schemeClr>
              </a:solidFill>
            </a:rPr>
            <a:t> or </a:t>
          </a:r>
          <a:r>
            <a:rPr lang="en-GB" sz="900" b="1">
              <a:solidFill>
                <a:schemeClr val="accent2">
                  <a:lumMod val="50000"/>
                </a:schemeClr>
              </a:solidFill>
            </a:rPr>
            <a:t>loyalty points multipliers</a:t>
          </a:r>
          <a:r>
            <a:rPr lang="en-GB" sz="900">
              <a:solidFill>
                <a:schemeClr val="accent2">
                  <a:lumMod val="50000"/>
                </a:schemeClr>
              </a:solidFill>
            </a:rPr>
            <a:t> on these slower days.</a:t>
          </a:r>
          <a:r>
            <a:rPr lang="en-GB" sz="900" baseline="0">
              <a:solidFill>
                <a:schemeClr val="accent2">
                  <a:lumMod val="50000"/>
                </a:schemeClr>
              </a:solidFill>
            </a:rPr>
            <a:t> </a:t>
          </a:r>
          <a:r>
            <a:rPr lang="en-GB" sz="900">
              <a:solidFill>
                <a:schemeClr val="accent2">
                  <a:lumMod val="50000"/>
                </a:schemeClr>
              </a:solidFill>
            </a:rPr>
            <a:t>Promote </a:t>
          </a:r>
          <a:r>
            <a:rPr lang="en-GB" sz="900" b="1">
              <a:solidFill>
                <a:schemeClr val="accent2">
                  <a:lumMod val="50000"/>
                </a:schemeClr>
              </a:solidFill>
            </a:rPr>
            <a:t>happy-hour deals</a:t>
          </a:r>
          <a:r>
            <a:rPr lang="en-GB" sz="900">
              <a:solidFill>
                <a:schemeClr val="accent2">
                  <a:lumMod val="50000"/>
                </a:schemeClr>
              </a:solidFill>
            </a:rPr>
            <a:t> (e.g., 3–5 PM discounts) to attract office workers and students.</a:t>
          </a:r>
        </a:p>
        <a:p>
          <a:r>
            <a:rPr lang="en-GB" sz="900" b="1">
              <a:solidFill>
                <a:schemeClr val="accent2">
                  <a:lumMod val="50000"/>
                </a:schemeClr>
              </a:solidFill>
            </a:rPr>
            <a:t>4. Wednesday Boost Opportunity</a:t>
          </a:r>
          <a:endParaRPr lang="en-GB" sz="900">
            <a:solidFill>
              <a:schemeClr val="accent2">
                <a:lumMod val="50000"/>
              </a:schemeClr>
            </a:solidFill>
          </a:endParaRPr>
        </a:p>
        <a:p>
          <a:r>
            <a:rPr lang="en-GB" sz="900">
              <a:solidFill>
                <a:schemeClr val="accent2">
                  <a:lumMod val="50000"/>
                </a:schemeClr>
              </a:solidFill>
            </a:rPr>
            <a:t>Since Wednesday already performs better than most weekdays, reinforce this trend with </a:t>
          </a:r>
          <a:r>
            <a:rPr lang="en-GB" sz="900" b="1">
              <a:solidFill>
                <a:schemeClr val="accent2">
                  <a:lumMod val="50000"/>
                </a:schemeClr>
              </a:solidFill>
            </a:rPr>
            <a:t>“Midweek Treats” campaigns</a:t>
          </a:r>
          <a:r>
            <a:rPr lang="en-GB" sz="900">
              <a:solidFill>
                <a:schemeClr val="accent2">
                  <a:lumMod val="50000"/>
                </a:schemeClr>
              </a:solidFill>
            </a:rPr>
            <a:t> (buy-one-get-one, free add-ons).</a:t>
          </a:r>
        </a:p>
        <a:p>
          <a:r>
            <a:rPr lang="en-GB" sz="900" b="1">
              <a:solidFill>
                <a:schemeClr val="accent2">
                  <a:lumMod val="50000"/>
                </a:schemeClr>
              </a:solidFill>
            </a:rPr>
            <a:t>5. Friday Kick-Off Strategy</a:t>
          </a:r>
          <a:endParaRPr lang="en-GB" sz="900">
            <a:solidFill>
              <a:schemeClr val="accent2">
                <a:lumMod val="50000"/>
              </a:schemeClr>
            </a:solidFill>
          </a:endParaRPr>
        </a:p>
        <a:p>
          <a:r>
            <a:rPr lang="en-GB" sz="900">
              <a:solidFill>
                <a:schemeClr val="accent2">
                  <a:lumMod val="50000"/>
                </a:schemeClr>
              </a:solidFill>
            </a:rPr>
            <a:t>Position Friday as the </a:t>
          </a:r>
          <a:r>
            <a:rPr lang="en-GB" sz="900" b="1">
              <a:solidFill>
                <a:schemeClr val="accent2">
                  <a:lumMod val="50000"/>
                </a:schemeClr>
              </a:solidFill>
            </a:rPr>
            <a:t>“start of the weekend”</a:t>
          </a:r>
          <a:r>
            <a:rPr lang="en-GB" sz="900">
              <a:solidFill>
                <a:schemeClr val="accent2">
                  <a:lumMod val="50000"/>
                </a:schemeClr>
              </a:solidFill>
            </a:rPr>
            <a:t> with live music, themed drinks, or group discounts to increase traffic earlier in the weekend cycle.</a:t>
          </a:r>
        </a:p>
        <a:p>
          <a:r>
            <a:rPr lang="en-GB" sz="900" b="1">
              <a:solidFill>
                <a:schemeClr val="accent2">
                  <a:lumMod val="50000"/>
                </a:schemeClr>
              </a:solidFill>
            </a:rPr>
            <a:t>6. Customer Segmentation</a:t>
          </a:r>
          <a:endParaRPr lang="en-GB" sz="900">
            <a:solidFill>
              <a:schemeClr val="accent2">
                <a:lumMod val="50000"/>
              </a:schemeClr>
            </a:solidFill>
          </a:endParaRPr>
        </a:p>
        <a:p>
          <a:r>
            <a:rPr lang="en-GB" sz="900">
              <a:solidFill>
                <a:schemeClr val="accent2">
                  <a:lumMod val="50000"/>
                </a:schemeClr>
              </a:solidFill>
            </a:rPr>
            <a:t>Weekday customers may be </a:t>
          </a:r>
          <a:r>
            <a:rPr lang="en-GB" sz="900" b="1">
              <a:solidFill>
                <a:schemeClr val="accent2">
                  <a:lumMod val="50000"/>
                </a:schemeClr>
              </a:solidFill>
            </a:rPr>
            <a:t>routine-driven (commuters, office workers)</a:t>
          </a:r>
          <a:r>
            <a:rPr lang="en-GB" sz="900">
              <a:solidFill>
                <a:schemeClr val="accent2">
                  <a:lumMod val="50000"/>
                </a:schemeClr>
              </a:solidFill>
            </a:rPr>
            <a:t> - target them with subscription coffee plans or prepaid cards.</a:t>
          </a:r>
        </a:p>
        <a:p>
          <a:r>
            <a:rPr lang="en-GB" sz="900">
              <a:solidFill>
                <a:schemeClr val="accent2">
                  <a:lumMod val="50000"/>
                </a:schemeClr>
              </a:solidFill>
            </a:rPr>
            <a:t>Weekend customers likely </a:t>
          </a:r>
          <a:r>
            <a:rPr lang="en-GB" sz="900" b="1">
              <a:solidFill>
                <a:schemeClr val="accent2">
                  <a:lumMod val="50000"/>
                </a:schemeClr>
              </a:solidFill>
            </a:rPr>
            <a:t>socialize or come in groups</a:t>
          </a:r>
          <a:r>
            <a:rPr lang="en-GB" sz="900">
              <a:solidFill>
                <a:schemeClr val="accent2">
                  <a:lumMod val="50000"/>
                </a:schemeClr>
              </a:solidFill>
            </a:rPr>
            <a:t> - target with family/group packages and premium upsells.</a:t>
          </a:r>
        </a:p>
        <a:p>
          <a:r>
            <a:rPr lang="en-GB" sz="900" b="1">
              <a:solidFill>
                <a:schemeClr val="accent2">
                  <a:lumMod val="50000"/>
                </a:schemeClr>
              </a:solidFill>
            </a:rPr>
            <a:t>7. Marketing &amp; Promotion Timing</a:t>
          </a:r>
          <a:endParaRPr lang="en-GB" sz="900">
            <a:solidFill>
              <a:schemeClr val="accent2">
                <a:lumMod val="50000"/>
              </a:schemeClr>
            </a:solidFill>
          </a:endParaRPr>
        </a:p>
        <a:p>
          <a:r>
            <a:rPr lang="en-GB" sz="900">
              <a:solidFill>
                <a:schemeClr val="accent2">
                  <a:lumMod val="50000"/>
                </a:schemeClr>
              </a:solidFill>
            </a:rPr>
            <a:t>Run </a:t>
          </a:r>
          <a:r>
            <a:rPr lang="en-GB" sz="900" b="1">
              <a:solidFill>
                <a:schemeClr val="accent2">
                  <a:lumMod val="50000"/>
                </a:schemeClr>
              </a:solidFill>
            </a:rPr>
            <a:t>social media ads Thursday–Saturday evening</a:t>
          </a:r>
          <a:r>
            <a:rPr lang="en-GB" sz="900">
              <a:solidFill>
                <a:schemeClr val="accent2">
                  <a:lumMod val="50000"/>
                </a:schemeClr>
              </a:solidFill>
            </a:rPr>
            <a:t> to capture people planning their weekend outings.</a:t>
          </a:r>
          <a:r>
            <a:rPr lang="en-GB" sz="900" baseline="0">
              <a:solidFill>
                <a:schemeClr val="accent2">
                  <a:lumMod val="50000"/>
                </a:schemeClr>
              </a:solidFill>
            </a:rPr>
            <a:t> </a:t>
          </a:r>
          <a:r>
            <a:rPr lang="en-GB" sz="900">
              <a:solidFill>
                <a:schemeClr val="accent2">
                  <a:lumMod val="50000"/>
                </a:schemeClr>
              </a:solidFill>
            </a:rPr>
            <a:t>Use </a:t>
          </a:r>
          <a:r>
            <a:rPr lang="en-GB" sz="900" b="1">
              <a:solidFill>
                <a:schemeClr val="accent2">
                  <a:lumMod val="50000"/>
                </a:schemeClr>
              </a:solidFill>
            </a:rPr>
            <a:t>weekday promotions</a:t>
          </a:r>
          <a:r>
            <a:rPr lang="en-GB" sz="900">
              <a:solidFill>
                <a:schemeClr val="accent2">
                  <a:lumMod val="50000"/>
                </a:schemeClr>
              </a:solidFill>
            </a:rPr>
            <a:t> (email/SMS) to nudge regulars back in on slow days.</a:t>
          </a:r>
        </a:p>
        <a:p>
          <a:r>
            <a:rPr lang="en-GB" sz="900" b="1">
              <a:solidFill>
                <a:schemeClr val="accent2">
                  <a:lumMod val="50000"/>
                </a:schemeClr>
              </a:solidFill>
            </a:rPr>
            <a:t>8. Operational Alignment</a:t>
          </a:r>
          <a:endParaRPr lang="en-GB" sz="900">
            <a:solidFill>
              <a:schemeClr val="accent2">
                <a:lumMod val="50000"/>
              </a:schemeClr>
            </a:solidFill>
          </a:endParaRPr>
        </a:p>
        <a:p>
          <a:r>
            <a:rPr lang="en-GB" sz="900">
              <a:solidFill>
                <a:schemeClr val="accent2">
                  <a:lumMod val="50000"/>
                </a:schemeClr>
              </a:solidFill>
            </a:rPr>
            <a:t>Adjust </a:t>
          </a:r>
          <a:r>
            <a:rPr lang="en-GB" sz="900" b="1">
              <a:solidFill>
                <a:schemeClr val="accent2">
                  <a:lumMod val="50000"/>
                </a:schemeClr>
              </a:solidFill>
            </a:rPr>
            <a:t>staff shifts, stock levels, and preparation</a:t>
          </a:r>
          <a:r>
            <a:rPr lang="en-GB" sz="900">
              <a:solidFill>
                <a:schemeClr val="accent2">
                  <a:lumMod val="50000"/>
                </a:schemeClr>
              </a:solidFill>
            </a:rPr>
            <a:t> around demand peaks (Fri–Sun).</a:t>
          </a:r>
        </a:p>
        <a:p>
          <a:r>
            <a:rPr lang="en-GB" sz="900">
              <a:solidFill>
                <a:schemeClr val="accent2">
                  <a:lumMod val="50000"/>
                </a:schemeClr>
              </a:solidFill>
            </a:rPr>
            <a:t>Reduce overstocking of perishable items on Tue–Thu.</a:t>
          </a:r>
        </a:p>
        <a:p>
          <a:pPr algn="l"/>
          <a:endParaRPr lang="en-NG" sz="1100">
            <a:solidFill>
              <a:schemeClr val="accent2">
                <a:lumMod val="50000"/>
              </a:schemeClr>
            </a:solidFill>
          </a:endParaRPr>
        </a:p>
      </xdr:txBody>
    </xdr:sp>
    <xdr:clientData/>
  </xdr:twoCellAnchor>
  <xdr:twoCellAnchor>
    <xdr:from>
      <xdr:col>8</xdr:col>
      <xdr:colOff>527050</xdr:colOff>
      <xdr:row>27</xdr:row>
      <xdr:rowOff>146050</xdr:rowOff>
    </xdr:from>
    <xdr:to>
      <xdr:col>15</xdr:col>
      <xdr:colOff>387350</xdr:colOff>
      <xdr:row>52</xdr:row>
      <xdr:rowOff>57150</xdr:rowOff>
    </xdr:to>
    <xdr:sp macro="" textlink="">
      <xdr:nvSpPr>
        <xdr:cNvPr id="3" name="Rectangle: Rounded Corners 2">
          <a:extLst>
            <a:ext uri="{FF2B5EF4-FFF2-40B4-BE49-F238E27FC236}">
              <a16:creationId xmlns:a16="http://schemas.microsoft.com/office/drawing/2014/main" id="{4E376CD5-9B9A-4B85-A644-6DCC4326F139}"/>
            </a:ext>
          </a:extLst>
        </xdr:cNvPr>
        <xdr:cNvSpPr/>
      </xdr:nvSpPr>
      <xdr:spPr>
        <a:xfrm>
          <a:off x="5403850" y="5118100"/>
          <a:ext cx="4127500" cy="4514850"/>
        </a:xfrm>
        <a:prstGeom prst="roundRect">
          <a:avLst>
            <a:gd name="adj" fmla="val 5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chemeClr val="accent2">
                  <a:lumMod val="50000"/>
                </a:schemeClr>
              </a:solidFill>
            </a:rPr>
            <a:t>GENERAL RECOMMENDATION</a:t>
          </a:r>
        </a:p>
        <a:p>
          <a:r>
            <a:rPr lang="en-GB" sz="900" b="1">
              <a:solidFill>
                <a:schemeClr val="accent2">
                  <a:lumMod val="50000"/>
                </a:schemeClr>
              </a:solidFill>
            </a:rPr>
            <a:t>1. Prioritize the Flagship – Americano with Milk</a:t>
          </a:r>
          <a:endParaRPr lang="en-GB" sz="900">
            <a:solidFill>
              <a:schemeClr val="accent2">
                <a:lumMod val="50000"/>
              </a:schemeClr>
            </a:solidFill>
          </a:endParaRPr>
        </a:p>
        <a:p>
          <a:r>
            <a:rPr lang="en-GB" sz="900">
              <a:solidFill>
                <a:schemeClr val="accent2">
                  <a:lumMod val="50000"/>
                </a:schemeClr>
              </a:solidFill>
            </a:rPr>
            <a:t>Since it leads with </a:t>
          </a:r>
          <a:r>
            <a:rPr lang="en-GB" sz="900" b="1">
              <a:solidFill>
                <a:schemeClr val="accent2">
                  <a:lumMod val="50000"/>
                </a:schemeClr>
              </a:solidFill>
            </a:rPr>
            <a:t>$1,100 revenue</a:t>
          </a:r>
          <a:r>
            <a:rPr lang="en-GB" sz="900">
              <a:solidFill>
                <a:schemeClr val="accent2">
                  <a:lumMod val="50000"/>
                </a:schemeClr>
              </a:solidFill>
            </a:rPr>
            <a:t>, make it a </a:t>
          </a:r>
          <a:r>
            <a:rPr lang="en-GB" sz="900" b="1">
              <a:solidFill>
                <a:schemeClr val="accent2">
                  <a:lumMod val="50000"/>
                </a:schemeClr>
              </a:solidFill>
            </a:rPr>
            <a:t>hero product</a:t>
          </a:r>
          <a:r>
            <a:rPr lang="en-GB" sz="900">
              <a:solidFill>
                <a:schemeClr val="accent2">
                  <a:lumMod val="50000"/>
                </a:schemeClr>
              </a:solidFill>
            </a:rPr>
            <a:t>:</a:t>
          </a:r>
          <a:r>
            <a:rPr lang="en-GB" sz="900" baseline="0">
              <a:solidFill>
                <a:schemeClr val="accent2">
                  <a:lumMod val="50000"/>
                </a:schemeClr>
              </a:solidFill>
            </a:rPr>
            <a:t> </a:t>
          </a:r>
          <a:r>
            <a:rPr lang="en-GB" sz="900">
              <a:solidFill>
                <a:schemeClr val="accent2">
                  <a:lumMod val="50000"/>
                </a:schemeClr>
              </a:solidFill>
            </a:rPr>
            <a:t>Feature it prominently on the menu,</a:t>
          </a:r>
          <a:r>
            <a:rPr lang="en-GB" sz="900" baseline="0">
              <a:solidFill>
                <a:schemeClr val="accent2">
                  <a:lumMod val="50000"/>
                </a:schemeClr>
              </a:solidFill>
            </a:rPr>
            <a:t> </a:t>
          </a:r>
          <a:r>
            <a:rPr lang="en-GB" sz="900">
              <a:solidFill>
                <a:schemeClr val="accent2">
                  <a:lumMod val="50000"/>
                </a:schemeClr>
              </a:solidFill>
            </a:rPr>
            <a:t>Create variations (e.g., flavored Americanos, seasonal twists),</a:t>
          </a:r>
          <a:r>
            <a:rPr lang="en-GB" sz="900" baseline="0">
              <a:solidFill>
                <a:schemeClr val="accent2">
                  <a:lumMod val="50000"/>
                </a:schemeClr>
              </a:solidFill>
            </a:rPr>
            <a:t> </a:t>
          </a:r>
          <a:r>
            <a:rPr lang="en-GB" sz="900">
              <a:solidFill>
                <a:schemeClr val="accent2">
                  <a:lumMod val="50000"/>
                </a:schemeClr>
              </a:solidFill>
            </a:rPr>
            <a:t>Bundle it with snacks/pastries to lift basket size.</a:t>
          </a:r>
        </a:p>
        <a:p>
          <a:r>
            <a:rPr lang="en-GB" sz="900" b="1">
              <a:solidFill>
                <a:schemeClr val="accent2">
                  <a:lumMod val="50000"/>
                </a:schemeClr>
              </a:solidFill>
            </a:rPr>
            <a:t>2. Strengthen the Classics (Latte &amp; Cappuccino)</a:t>
          </a:r>
          <a:endParaRPr lang="en-GB" sz="900">
            <a:solidFill>
              <a:schemeClr val="accent2">
                <a:lumMod val="50000"/>
              </a:schemeClr>
            </a:solidFill>
          </a:endParaRPr>
        </a:p>
        <a:p>
          <a:r>
            <a:rPr lang="en-GB" sz="900">
              <a:solidFill>
                <a:schemeClr val="accent2">
                  <a:lumMod val="50000"/>
                </a:schemeClr>
              </a:solidFill>
            </a:rPr>
            <a:t>These two are </a:t>
          </a:r>
          <a:r>
            <a:rPr lang="en-GB" sz="900" b="1">
              <a:solidFill>
                <a:schemeClr val="accent2">
                  <a:lumMod val="50000"/>
                </a:schemeClr>
              </a:solidFill>
            </a:rPr>
            <a:t>steady performers ($792 + $480)</a:t>
          </a:r>
          <a:r>
            <a:rPr lang="en-GB" sz="900">
              <a:solidFill>
                <a:schemeClr val="accent2">
                  <a:lumMod val="50000"/>
                </a:schemeClr>
              </a:solidFill>
            </a:rPr>
            <a:t> - they can anchor customer loyalty.</a:t>
          </a:r>
          <a:r>
            <a:rPr lang="en-GB" sz="900" baseline="0">
              <a:solidFill>
                <a:schemeClr val="accent2">
                  <a:lumMod val="50000"/>
                </a:schemeClr>
              </a:solidFill>
            </a:rPr>
            <a:t> </a:t>
          </a:r>
          <a:r>
            <a:rPr lang="en-GB" sz="900">
              <a:solidFill>
                <a:schemeClr val="accent2">
                  <a:lumMod val="50000"/>
                </a:schemeClr>
              </a:solidFill>
            </a:rPr>
            <a:t>Promote them through </a:t>
          </a:r>
          <a:r>
            <a:rPr lang="en-GB" sz="900" b="1">
              <a:solidFill>
                <a:schemeClr val="accent2">
                  <a:lumMod val="50000"/>
                </a:schemeClr>
              </a:solidFill>
            </a:rPr>
            <a:t>loyalty rewards</a:t>
          </a:r>
          <a:r>
            <a:rPr lang="en-GB" sz="900">
              <a:solidFill>
                <a:schemeClr val="accent2">
                  <a:lumMod val="50000"/>
                </a:schemeClr>
              </a:solidFill>
            </a:rPr>
            <a:t> (e.g., every 5th latte free).</a:t>
          </a:r>
        </a:p>
        <a:p>
          <a:r>
            <a:rPr lang="en-GB" sz="900" b="1">
              <a:solidFill>
                <a:schemeClr val="accent2">
                  <a:lumMod val="50000"/>
                </a:schemeClr>
              </a:solidFill>
            </a:rPr>
            <a:t>3.</a:t>
          </a:r>
          <a:r>
            <a:rPr lang="en-GB" sz="900" b="1" baseline="0">
              <a:solidFill>
                <a:schemeClr val="accent2">
                  <a:lumMod val="50000"/>
                </a:schemeClr>
              </a:solidFill>
            </a:rPr>
            <a:t> </a:t>
          </a:r>
          <a:r>
            <a:rPr lang="en-GB" sz="900" b="1">
              <a:solidFill>
                <a:schemeClr val="accent2">
                  <a:lumMod val="50000"/>
                </a:schemeClr>
              </a:solidFill>
            </a:rPr>
            <a:t>Expand Premium/Alcoholic Segment (Irish Whiskey Variants)</a:t>
          </a:r>
          <a:endParaRPr lang="en-GB" sz="900">
            <a:solidFill>
              <a:schemeClr val="accent2">
                <a:lumMod val="50000"/>
              </a:schemeClr>
            </a:solidFill>
          </a:endParaRPr>
        </a:p>
        <a:p>
          <a:r>
            <a:rPr lang="en-GB" sz="900">
              <a:solidFill>
                <a:schemeClr val="accent2">
                  <a:lumMod val="50000"/>
                </a:schemeClr>
              </a:solidFill>
            </a:rPr>
            <a:t>The </a:t>
          </a:r>
          <a:r>
            <a:rPr lang="en-GB" sz="900" b="1">
              <a:solidFill>
                <a:schemeClr val="accent2">
                  <a:lumMod val="50000"/>
                </a:schemeClr>
              </a:solidFill>
            </a:rPr>
            <a:t>Irish whiskey ($525)</a:t>
          </a:r>
          <a:r>
            <a:rPr lang="en-GB" sz="900">
              <a:solidFill>
                <a:schemeClr val="accent2">
                  <a:lumMod val="50000"/>
                </a:schemeClr>
              </a:solidFill>
            </a:rPr>
            <a:t> and </a:t>
          </a:r>
          <a:r>
            <a:rPr lang="en-GB" sz="900" b="1">
              <a:solidFill>
                <a:schemeClr val="accent2">
                  <a:lumMod val="50000"/>
                </a:schemeClr>
              </a:solidFill>
            </a:rPr>
            <a:t>Coffee with Irish whiskey ($464)</a:t>
          </a:r>
          <a:r>
            <a:rPr lang="en-GB" sz="900">
              <a:solidFill>
                <a:schemeClr val="accent2">
                  <a:lumMod val="50000"/>
                </a:schemeClr>
              </a:solidFill>
            </a:rPr>
            <a:t> show customers are willing to pay for </a:t>
          </a:r>
          <a:r>
            <a:rPr lang="en-GB" sz="900" b="1">
              <a:solidFill>
                <a:schemeClr val="accent2">
                  <a:lumMod val="50000"/>
                </a:schemeClr>
              </a:solidFill>
            </a:rPr>
            <a:t>premium, indulgent options</a:t>
          </a:r>
          <a:r>
            <a:rPr lang="en-GB" sz="900">
              <a:solidFill>
                <a:schemeClr val="accent2">
                  <a:lumMod val="50000"/>
                </a:schemeClr>
              </a:solidFill>
            </a:rPr>
            <a:t>.</a:t>
          </a:r>
          <a:r>
            <a:rPr lang="en-GB" sz="900" baseline="0">
              <a:solidFill>
                <a:schemeClr val="accent2">
                  <a:lumMod val="50000"/>
                </a:schemeClr>
              </a:solidFill>
            </a:rPr>
            <a:t> </a:t>
          </a:r>
          <a:r>
            <a:rPr lang="en-GB" sz="900">
              <a:solidFill>
                <a:schemeClr val="accent2">
                  <a:lumMod val="50000"/>
                </a:schemeClr>
              </a:solidFill>
            </a:rPr>
            <a:t>Introduce </a:t>
          </a:r>
          <a:r>
            <a:rPr lang="en-GB" sz="900" b="1">
              <a:solidFill>
                <a:schemeClr val="accent2">
                  <a:lumMod val="50000"/>
                </a:schemeClr>
              </a:solidFill>
            </a:rPr>
            <a:t>limited-edition alcoholic or flavored beverages</a:t>
          </a:r>
          <a:r>
            <a:rPr lang="en-GB" sz="900">
              <a:solidFill>
                <a:schemeClr val="accent2">
                  <a:lumMod val="50000"/>
                </a:schemeClr>
              </a:solidFill>
            </a:rPr>
            <a:t> (e.g., Bailey’s latte, spiced Irish coffee) to capture this niche.</a:t>
          </a:r>
          <a:r>
            <a:rPr lang="en-GB" sz="900" baseline="0">
              <a:solidFill>
                <a:schemeClr val="accent2">
                  <a:lumMod val="50000"/>
                </a:schemeClr>
              </a:solidFill>
            </a:rPr>
            <a:t> </a:t>
          </a:r>
          <a:r>
            <a:rPr lang="en-GB" sz="900">
              <a:solidFill>
                <a:schemeClr val="accent2">
                  <a:lumMod val="50000"/>
                </a:schemeClr>
              </a:solidFill>
            </a:rPr>
            <a:t>Price these strategically higher, since demand is driven by </a:t>
          </a:r>
          <a:r>
            <a:rPr lang="en-GB" sz="900" i="1">
              <a:solidFill>
                <a:schemeClr val="accent2">
                  <a:lumMod val="50000"/>
                </a:schemeClr>
              </a:solidFill>
            </a:rPr>
            <a:t>experience</a:t>
          </a:r>
          <a:r>
            <a:rPr lang="en-GB" sz="900">
              <a:solidFill>
                <a:schemeClr val="accent2">
                  <a:lumMod val="50000"/>
                </a:schemeClr>
              </a:solidFill>
            </a:rPr>
            <a:t> not just coffee.</a:t>
          </a:r>
        </a:p>
        <a:p>
          <a:r>
            <a:rPr lang="en-GB" sz="900" b="1">
              <a:solidFill>
                <a:schemeClr val="accent2">
                  <a:lumMod val="50000"/>
                </a:schemeClr>
              </a:solidFill>
            </a:rPr>
            <a:t>4. Bundle &amp; Cross-Sell Using Top 5</a:t>
          </a:r>
          <a:endParaRPr lang="en-GB" sz="900">
            <a:solidFill>
              <a:schemeClr val="accent2">
                <a:lumMod val="50000"/>
              </a:schemeClr>
            </a:solidFill>
          </a:endParaRPr>
        </a:p>
        <a:p>
          <a:r>
            <a:rPr lang="en-GB" sz="900">
              <a:solidFill>
                <a:schemeClr val="accent2">
                  <a:lumMod val="50000"/>
                </a:schemeClr>
              </a:solidFill>
            </a:rPr>
            <a:t>Create a </a:t>
          </a:r>
          <a:r>
            <a:rPr lang="en-GB" sz="900" b="1">
              <a:solidFill>
                <a:schemeClr val="accent2">
                  <a:lumMod val="50000"/>
                </a:schemeClr>
              </a:solidFill>
            </a:rPr>
            <a:t>“Top 5 Favorites” menu section</a:t>
          </a:r>
          <a:r>
            <a:rPr lang="en-GB" sz="900">
              <a:solidFill>
                <a:schemeClr val="accent2">
                  <a:lumMod val="50000"/>
                </a:schemeClr>
              </a:solidFill>
            </a:rPr>
            <a:t> to highlight bestsellers.</a:t>
          </a:r>
        </a:p>
        <a:p>
          <a:r>
            <a:rPr lang="en-GB" sz="900" b="1">
              <a:solidFill>
                <a:schemeClr val="accent2">
                  <a:lumMod val="50000"/>
                </a:schemeClr>
              </a:solidFill>
            </a:rPr>
            <a:t>5.</a:t>
          </a:r>
          <a:r>
            <a:rPr lang="en-GB" sz="900" b="1" baseline="0">
              <a:solidFill>
                <a:schemeClr val="accent2">
                  <a:lumMod val="50000"/>
                </a:schemeClr>
              </a:solidFill>
            </a:rPr>
            <a:t> </a:t>
          </a:r>
          <a:r>
            <a:rPr lang="en-GB" sz="900" b="1">
              <a:solidFill>
                <a:schemeClr val="accent2">
                  <a:lumMod val="50000"/>
                </a:schemeClr>
              </a:solidFill>
            </a:rPr>
            <a:t>Menu Optimization</a:t>
          </a:r>
          <a:endParaRPr lang="en-GB" sz="900">
            <a:solidFill>
              <a:schemeClr val="accent2">
                <a:lumMod val="50000"/>
              </a:schemeClr>
            </a:solidFill>
          </a:endParaRPr>
        </a:p>
        <a:p>
          <a:r>
            <a:rPr lang="en-GB" sz="900">
              <a:solidFill>
                <a:schemeClr val="accent2">
                  <a:lumMod val="50000"/>
                </a:schemeClr>
              </a:solidFill>
            </a:rPr>
            <a:t>With </a:t>
          </a:r>
          <a:r>
            <a:rPr lang="en-GB" sz="900" b="1">
              <a:solidFill>
                <a:schemeClr val="accent2">
                  <a:lumMod val="50000"/>
                </a:schemeClr>
              </a:solidFill>
            </a:rPr>
            <a:t>31 drinks but only 5 driving nearly half of revenue</a:t>
          </a:r>
          <a:r>
            <a:rPr lang="en-GB" sz="900">
              <a:solidFill>
                <a:schemeClr val="accent2">
                  <a:lumMod val="50000"/>
                </a:schemeClr>
              </a:solidFill>
            </a:rPr>
            <a:t>, consider streamlining the menu.</a:t>
          </a:r>
          <a:r>
            <a:rPr lang="en-GB" sz="900" baseline="0">
              <a:solidFill>
                <a:schemeClr val="accent2">
                  <a:lumMod val="50000"/>
                </a:schemeClr>
              </a:solidFill>
            </a:rPr>
            <a:t> </a:t>
          </a:r>
          <a:r>
            <a:rPr lang="en-GB" sz="900">
              <a:solidFill>
                <a:schemeClr val="accent2">
                  <a:lumMod val="50000"/>
                </a:schemeClr>
              </a:solidFill>
            </a:rPr>
            <a:t>Retain top performers, but either </a:t>
          </a:r>
          <a:r>
            <a:rPr lang="en-GB" sz="900" b="1">
              <a:solidFill>
                <a:schemeClr val="accent2">
                  <a:lumMod val="50000"/>
                </a:schemeClr>
              </a:solidFill>
            </a:rPr>
            <a:t>rebrand, promote, or phase out low-selling beverages</a:t>
          </a:r>
          <a:r>
            <a:rPr lang="en-GB" sz="900">
              <a:solidFill>
                <a:schemeClr val="accent2">
                  <a:lumMod val="50000"/>
                </a:schemeClr>
              </a:solidFill>
            </a:rPr>
            <a:t> to reduce operational complexity.</a:t>
          </a:r>
        </a:p>
        <a:p>
          <a:r>
            <a:rPr lang="en-GB" sz="900" b="1">
              <a:solidFill>
                <a:schemeClr val="accent2">
                  <a:lumMod val="50000"/>
                </a:schemeClr>
              </a:solidFill>
            </a:rPr>
            <a:t>6.</a:t>
          </a:r>
          <a:r>
            <a:rPr lang="en-GB" sz="900" b="1" baseline="0">
              <a:solidFill>
                <a:schemeClr val="accent2">
                  <a:lumMod val="50000"/>
                </a:schemeClr>
              </a:solidFill>
            </a:rPr>
            <a:t> </a:t>
          </a:r>
          <a:r>
            <a:rPr lang="en-GB" sz="900" b="1">
              <a:solidFill>
                <a:schemeClr val="accent2">
                  <a:lumMod val="50000"/>
                </a:schemeClr>
              </a:solidFill>
            </a:rPr>
            <a:t>Marketing &amp; Promotions</a:t>
          </a:r>
          <a:endParaRPr lang="en-GB" sz="900">
            <a:solidFill>
              <a:schemeClr val="accent2">
                <a:lumMod val="50000"/>
              </a:schemeClr>
            </a:solidFill>
          </a:endParaRPr>
        </a:p>
        <a:p>
          <a:r>
            <a:rPr lang="en-GB" sz="900">
              <a:solidFill>
                <a:schemeClr val="accent2">
                  <a:lumMod val="50000"/>
                </a:schemeClr>
              </a:solidFill>
            </a:rPr>
            <a:t>Advertise top sellers on social media as </a:t>
          </a:r>
          <a:r>
            <a:rPr lang="en-GB" sz="900" b="1">
              <a:solidFill>
                <a:schemeClr val="accent2">
                  <a:lumMod val="50000"/>
                </a:schemeClr>
              </a:solidFill>
            </a:rPr>
            <a:t>“Customer Favorites”</a:t>
          </a:r>
          <a:r>
            <a:rPr lang="en-GB" sz="900">
              <a:solidFill>
                <a:schemeClr val="accent2">
                  <a:lumMod val="50000"/>
                </a:schemeClr>
              </a:solidFill>
            </a:rPr>
            <a:t> to build trust and familiarity.</a:t>
          </a:r>
          <a:r>
            <a:rPr lang="en-GB" sz="900" baseline="0">
              <a:solidFill>
                <a:schemeClr val="accent2">
                  <a:lumMod val="50000"/>
                </a:schemeClr>
              </a:solidFill>
            </a:rPr>
            <a:t> </a:t>
          </a:r>
          <a:r>
            <a:rPr lang="en-GB" sz="900">
              <a:solidFill>
                <a:schemeClr val="accent2">
                  <a:lumMod val="50000"/>
                </a:schemeClr>
              </a:solidFill>
            </a:rPr>
            <a:t>Highlight premium whiskey options during weekends when indulgent purchases are higher.</a:t>
          </a:r>
        </a:p>
        <a:p>
          <a:r>
            <a:rPr lang="en-GB" sz="900" b="1">
              <a:solidFill>
                <a:schemeClr val="accent2">
                  <a:lumMod val="50000"/>
                </a:schemeClr>
              </a:solidFill>
            </a:rPr>
            <a:t>7. Customer Segmentation</a:t>
          </a:r>
          <a:endParaRPr lang="en-GB" sz="900">
            <a:solidFill>
              <a:schemeClr val="accent2">
                <a:lumMod val="50000"/>
              </a:schemeClr>
            </a:solidFill>
          </a:endParaRPr>
        </a:p>
        <a:p>
          <a:r>
            <a:rPr lang="en-GB" sz="900" b="1">
              <a:solidFill>
                <a:schemeClr val="accent2">
                  <a:lumMod val="50000"/>
                </a:schemeClr>
              </a:solidFill>
            </a:rPr>
            <a:t>Everyday drinkers</a:t>
          </a:r>
          <a:r>
            <a:rPr lang="en-GB" sz="900">
              <a:solidFill>
                <a:schemeClr val="accent2">
                  <a:lumMod val="50000"/>
                </a:schemeClr>
              </a:solidFill>
            </a:rPr>
            <a:t> - Americano, Latte, Cappuccino (appeal to routine customers).</a:t>
          </a:r>
        </a:p>
        <a:p>
          <a:r>
            <a:rPr lang="en-GB" sz="900" b="1">
              <a:solidFill>
                <a:schemeClr val="accent2">
                  <a:lumMod val="50000"/>
                </a:schemeClr>
              </a:solidFill>
            </a:rPr>
            <a:t>Special occasion drinkers</a:t>
          </a:r>
          <a:r>
            <a:rPr lang="en-GB" sz="900">
              <a:solidFill>
                <a:schemeClr val="accent2">
                  <a:lumMod val="50000"/>
                </a:schemeClr>
              </a:solidFill>
            </a:rPr>
            <a:t> - Irish whiskey beverages (appeal to premium weekend/social crowd).</a:t>
          </a:r>
        </a:p>
        <a:p>
          <a:r>
            <a:rPr lang="en-GB" sz="900">
              <a:solidFill>
                <a:schemeClr val="accent2">
                  <a:lumMod val="50000"/>
                </a:schemeClr>
              </a:solidFill>
            </a:rPr>
            <a:t>Tailor marketing campaigns accordingly.</a:t>
          </a:r>
        </a:p>
        <a:p>
          <a:pPr algn="l"/>
          <a:endParaRPr lang="en-NG" sz="1100" b="0">
            <a:solidFill>
              <a:schemeClr val="accent2">
                <a:lumMod val="50000"/>
              </a:schemeClr>
            </a:solidFill>
          </a:endParaRPr>
        </a:p>
      </xdr:txBody>
    </xdr:sp>
    <xdr:clientData/>
  </xdr:twoCellAnchor>
  <xdr:twoCellAnchor>
    <xdr:from>
      <xdr:col>0</xdr:col>
      <xdr:colOff>133350</xdr:colOff>
      <xdr:row>28</xdr:row>
      <xdr:rowOff>6350</xdr:rowOff>
    </xdr:from>
    <xdr:to>
      <xdr:col>7</xdr:col>
      <xdr:colOff>19050</xdr:colOff>
      <xdr:row>52</xdr:row>
      <xdr:rowOff>31750</xdr:rowOff>
    </xdr:to>
    <xdr:sp macro="" textlink="">
      <xdr:nvSpPr>
        <xdr:cNvPr id="4" name="Rectangle: Rounded Corners 3">
          <a:extLst>
            <a:ext uri="{FF2B5EF4-FFF2-40B4-BE49-F238E27FC236}">
              <a16:creationId xmlns:a16="http://schemas.microsoft.com/office/drawing/2014/main" id="{6BCE5B5F-BBB1-4690-8F03-BDC6E7E1B5E7}"/>
            </a:ext>
          </a:extLst>
        </xdr:cNvPr>
        <xdr:cNvSpPr/>
      </xdr:nvSpPr>
      <xdr:spPr>
        <a:xfrm>
          <a:off x="133350" y="5162550"/>
          <a:ext cx="4152900" cy="4445000"/>
        </a:xfrm>
        <a:prstGeom prst="roundRect">
          <a:avLst>
            <a:gd name="adj" fmla="val 5667"/>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chemeClr val="bg1"/>
              </a:solidFill>
            </a:rPr>
            <a:t>GENERAL RECOMMENDATION</a:t>
          </a:r>
        </a:p>
        <a:p>
          <a:r>
            <a:rPr lang="en-GB" sz="900" b="1"/>
            <a:t>1. Replicate February Success</a:t>
          </a:r>
          <a:endParaRPr lang="en-GB" sz="900"/>
        </a:p>
        <a:p>
          <a:r>
            <a:rPr lang="en-GB" sz="900"/>
            <a:t>Identify what worked in </a:t>
          </a:r>
          <a:r>
            <a:rPr lang="en-GB" sz="900" b="0"/>
            <a:t>February</a:t>
          </a:r>
          <a:r>
            <a:rPr lang="en-GB" sz="900"/>
            <a:t> (e.g., Valentine’s promotions, marketing campaigns, seasonal demand).</a:t>
          </a:r>
        </a:p>
        <a:p>
          <a:r>
            <a:rPr lang="en-GB" sz="900" b="1"/>
            <a:t>2.</a:t>
          </a:r>
          <a:r>
            <a:rPr lang="en-GB" sz="900" b="1" baseline="0"/>
            <a:t> </a:t>
          </a:r>
          <a:r>
            <a:rPr lang="en-GB" sz="900" b="1"/>
            <a:t>Boost March and Other “Low” Months</a:t>
          </a:r>
          <a:endParaRPr lang="en-GB" sz="900"/>
        </a:p>
        <a:p>
          <a:r>
            <a:rPr lang="en-GB" sz="900"/>
            <a:t>Introduce </a:t>
          </a:r>
          <a:r>
            <a:rPr lang="en-GB" sz="900" b="1"/>
            <a:t>monthly themes or special beverages</a:t>
          </a:r>
          <a:r>
            <a:rPr lang="en-GB" sz="900"/>
            <a:t> to spark interest.</a:t>
          </a:r>
          <a:r>
            <a:rPr lang="en-GB" sz="900" baseline="0"/>
            <a:t> </a:t>
          </a:r>
          <a:r>
            <a:rPr lang="en-GB" sz="900"/>
            <a:t>Run </a:t>
          </a:r>
          <a:r>
            <a:rPr lang="en-GB" sz="900" b="0"/>
            <a:t>mid-month promotions </a:t>
          </a:r>
          <a:r>
            <a:rPr lang="en-GB" sz="900"/>
            <a:t>to counter customer drop-off.</a:t>
          </a:r>
        </a:p>
        <a:p>
          <a:r>
            <a:rPr lang="en-GB" sz="900" b="1"/>
            <a:t>3. Track Seasonal Factors</a:t>
          </a:r>
          <a:endParaRPr lang="en-GB" sz="900"/>
        </a:p>
        <a:p>
          <a:r>
            <a:rPr lang="en-GB" sz="900"/>
            <a:t>Continue monitoring sales over more months to confirm if the </a:t>
          </a:r>
          <a:r>
            <a:rPr lang="en-GB" sz="900" b="1"/>
            <a:t>drop</a:t>
          </a:r>
          <a:r>
            <a:rPr lang="en-GB" sz="900"/>
            <a:t> is seasonal (e.g., fewer outings in March) or structural.</a:t>
          </a:r>
        </a:p>
        <a:p>
          <a:r>
            <a:rPr lang="en-GB" sz="900" b="1"/>
            <a:t>4.</a:t>
          </a:r>
          <a:r>
            <a:rPr lang="en-GB" sz="900" b="1" baseline="0"/>
            <a:t> </a:t>
          </a:r>
          <a:r>
            <a:rPr lang="en-GB" sz="900" b="1"/>
            <a:t>Customer Retention Strategies</a:t>
          </a:r>
          <a:endParaRPr lang="en-GB" sz="900"/>
        </a:p>
        <a:p>
          <a:r>
            <a:rPr lang="en-GB" sz="900"/>
            <a:t>Offer </a:t>
          </a:r>
          <a:r>
            <a:rPr lang="en-GB" sz="900" b="1"/>
            <a:t>loyalty programs</a:t>
          </a:r>
          <a:r>
            <a:rPr lang="en-GB" sz="900"/>
            <a:t> (e.g., buy 10 cups, get 1 free) to keep customers engaged throughout the year.</a:t>
          </a:r>
          <a:r>
            <a:rPr lang="en-GB" sz="900" baseline="0"/>
            <a:t> </a:t>
          </a:r>
          <a:r>
            <a:rPr lang="en-GB" sz="900"/>
            <a:t>Send </a:t>
          </a:r>
          <a:r>
            <a:rPr lang="en-GB" sz="900" b="1"/>
            <a:t>targeted SMS/email promotions</a:t>
          </a:r>
          <a:r>
            <a:rPr lang="en-GB" sz="900"/>
            <a:t> to February customers to encourage repeat purchases in slower months.</a:t>
          </a:r>
        </a:p>
        <a:p>
          <a:r>
            <a:rPr lang="en-GB" sz="900" b="1"/>
            <a:t>5. Inventory &amp; Operations Planning</a:t>
          </a:r>
          <a:endParaRPr lang="en-GB" sz="900"/>
        </a:p>
        <a:p>
          <a:r>
            <a:rPr lang="en-GB" sz="900"/>
            <a:t>Use </a:t>
          </a:r>
          <a:r>
            <a:rPr lang="en-GB" sz="900" b="1"/>
            <a:t>130 units per month as a baseline</a:t>
          </a:r>
          <a:r>
            <a:rPr lang="en-GB" sz="900"/>
            <a:t> for stock and staffing.</a:t>
          </a:r>
          <a:r>
            <a:rPr lang="en-GB" sz="900" baseline="0"/>
            <a:t> </a:t>
          </a:r>
          <a:r>
            <a:rPr lang="en-GB" sz="900"/>
            <a:t>Increase inventory in </a:t>
          </a:r>
          <a:r>
            <a:rPr lang="en-GB" sz="900" b="1"/>
            <a:t>event-heavy months</a:t>
          </a:r>
          <a:r>
            <a:rPr lang="en-GB" sz="900"/>
            <a:t>, reduce slightly in slower periods to minimize waste.</a:t>
          </a:r>
        </a:p>
        <a:p>
          <a:r>
            <a:rPr lang="en-GB" sz="900" b="1"/>
            <a:t>6. Marketing Timing</a:t>
          </a:r>
          <a:endParaRPr lang="en-GB" sz="900"/>
        </a:p>
        <a:p>
          <a:r>
            <a:rPr lang="en-GB" sz="900"/>
            <a:t>Align </a:t>
          </a:r>
          <a:r>
            <a:rPr lang="en-GB" sz="900" b="1"/>
            <a:t>ad campaigns and social media pushes</a:t>
          </a:r>
          <a:r>
            <a:rPr lang="en-GB" sz="900"/>
            <a:t> around early- and mid-month to drive consistency.</a:t>
          </a:r>
          <a:r>
            <a:rPr lang="en-GB" sz="900" baseline="0"/>
            <a:t> </a:t>
          </a:r>
          <a:r>
            <a:rPr lang="en-GB" sz="900"/>
            <a:t>Emphasize messages tied to lifestyle moments (e.g., “March pick-me-up deals”).</a:t>
          </a:r>
        </a:p>
        <a:p>
          <a:pPr algn="l"/>
          <a:endParaRPr lang="en-GB" sz="1100">
            <a:solidFill>
              <a:schemeClr val="bg1"/>
            </a:solidFill>
          </a:endParaRPr>
        </a:p>
      </xdr:txBody>
    </xdr:sp>
    <xdr:clientData/>
  </xdr:twoCellAnchor>
  <xdr:twoCellAnchor>
    <xdr:from>
      <xdr:col>9</xdr:col>
      <xdr:colOff>0</xdr:colOff>
      <xdr:row>0</xdr:row>
      <xdr:rowOff>107950</xdr:rowOff>
    </xdr:from>
    <xdr:to>
      <xdr:col>15</xdr:col>
      <xdr:colOff>495300</xdr:colOff>
      <xdr:row>25</xdr:row>
      <xdr:rowOff>88900</xdr:rowOff>
    </xdr:to>
    <xdr:sp macro="" textlink="">
      <xdr:nvSpPr>
        <xdr:cNvPr id="5" name="Rectangle: Rounded Corners 4">
          <a:extLst>
            <a:ext uri="{FF2B5EF4-FFF2-40B4-BE49-F238E27FC236}">
              <a16:creationId xmlns:a16="http://schemas.microsoft.com/office/drawing/2014/main" id="{0A23E6E6-B79B-4631-9F56-86ED1E5B5211}"/>
            </a:ext>
          </a:extLst>
        </xdr:cNvPr>
        <xdr:cNvSpPr/>
      </xdr:nvSpPr>
      <xdr:spPr>
        <a:xfrm>
          <a:off x="5486400" y="107950"/>
          <a:ext cx="4152900" cy="4584700"/>
        </a:xfrm>
        <a:prstGeom prst="roundRect">
          <a:avLst>
            <a:gd name="adj" fmla="val 5667"/>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chemeClr val="bg1"/>
              </a:solidFill>
            </a:rPr>
            <a:t>GENERAL</a:t>
          </a:r>
          <a:r>
            <a:rPr lang="en-GB" sz="1100" baseline="0">
              <a:solidFill>
                <a:schemeClr val="bg1"/>
              </a:solidFill>
            </a:rPr>
            <a:t> RECOMMENDATION</a:t>
          </a:r>
          <a:endParaRPr lang="en-GB" sz="1100">
            <a:solidFill>
              <a:schemeClr val="bg1"/>
            </a:solidFill>
          </a:endParaRPr>
        </a:p>
        <a:p>
          <a:r>
            <a:rPr lang="en-GB" sz="900" b="1"/>
            <a:t>1. Strengthen Digital Payments (Card)</a:t>
          </a:r>
          <a:endParaRPr lang="en-GB" sz="900"/>
        </a:p>
        <a:p>
          <a:r>
            <a:rPr lang="en-GB" sz="900"/>
            <a:t>Since a higher </a:t>
          </a:r>
          <a:r>
            <a:rPr lang="en-GB" sz="900" b="0"/>
            <a:t>revenue</a:t>
          </a:r>
          <a:r>
            <a:rPr lang="en-GB" sz="900"/>
            <a:t> comes from card transactions, ensure</a:t>
          </a:r>
          <a:r>
            <a:rPr lang="en-GB" sz="900" b="1"/>
            <a:t> card readers, and mobile wallet integrations</a:t>
          </a:r>
          <a:r>
            <a:rPr lang="en-GB" sz="900"/>
            <a:t> (Apple Pay, Google Pay, bank apps) are reliable and fast.</a:t>
          </a:r>
          <a:r>
            <a:rPr lang="en-GB" sz="900" baseline="0"/>
            <a:t> </a:t>
          </a:r>
          <a:r>
            <a:rPr lang="en-GB" sz="900"/>
            <a:t>Offer </a:t>
          </a:r>
          <a:r>
            <a:rPr lang="en-GB" sz="900" b="1"/>
            <a:t>loyalty points or cashback</a:t>
          </a:r>
          <a:r>
            <a:rPr lang="en-GB" sz="900"/>
            <a:t> on card purchases to further encourage digital usage.</a:t>
          </a:r>
        </a:p>
        <a:p>
          <a:r>
            <a:rPr lang="en-GB" sz="900" b="1"/>
            <a:t>2. Introduce Mobile Wallets</a:t>
          </a:r>
          <a:endParaRPr lang="en-GB" sz="900"/>
        </a:p>
        <a:p>
          <a:r>
            <a:rPr lang="en-GB" sz="900"/>
            <a:t>Expand beyond cards to include </a:t>
          </a:r>
          <a:r>
            <a:rPr lang="en-GB" sz="900" b="1"/>
            <a:t>QR-code payments, bank transfer apps, and digital wallets</a:t>
          </a:r>
          <a:r>
            <a:rPr lang="en-GB" sz="900"/>
            <a:t> (e.g., PayPal, local fintech apps).</a:t>
          </a:r>
        </a:p>
        <a:p>
          <a:r>
            <a:rPr lang="en-GB" sz="900" b="1"/>
            <a:t>3.</a:t>
          </a:r>
          <a:r>
            <a:rPr lang="en-GB" sz="900" b="1" baseline="0"/>
            <a:t> </a:t>
          </a:r>
          <a:r>
            <a:rPr lang="en-GB" sz="900" b="1"/>
            <a:t>Maintain Cash Acceptance</a:t>
          </a:r>
          <a:endParaRPr lang="en-GB" sz="900"/>
        </a:p>
        <a:p>
          <a:r>
            <a:rPr lang="en-GB" sz="900"/>
            <a:t>Keep cash as an option for the percentage of people who use it, but optimize handling: fewer registers, cash drop safes, and clear policies to reduce errors or theft.</a:t>
          </a:r>
        </a:p>
        <a:p>
          <a:r>
            <a:rPr lang="en-GB" sz="900" b="1"/>
            <a:t>4. Segment-Based Offers</a:t>
          </a:r>
          <a:endParaRPr lang="en-GB" sz="900"/>
        </a:p>
        <a:p>
          <a:r>
            <a:rPr lang="en-GB" sz="900" b="1"/>
            <a:t>Card users (majority)</a:t>
          </a:r>
          <a:r>
            <a:rPr lang="en-GB" sz="900"/>
            <a:t> - promote </a:t>
          </a:r>
          <a:r>
            <a:rPr lang="en-GB" sz="900" i="1"/>
            <a:t>subscription plans, prepaid cards, or automated payments</a:t>
          </a:r>
          <a:r>
            <a:rPr lang="en-GB" sz="900"/>
            <a:t>.</a:t>
          </a:r>
        </a:p>
        <a:p>
          <a:r>
            <a:rPr lang="en-GB" sz="900" b="1"/>
            <a:t>Cash users (minority)</a:t>
          </a:r>
          <a:r>
            <a:rPr lang="en-GB" sz="900"/>
            <a:t> - attract them with </a:t>
          </a:r>
          <a:r>
            <a:rPr lang="en-GB" sz="900" i="1"/>
            <a:t>small-value promotions</a:t>
          </a:r>
          <a:r>
            <a:rPr lang="en-GB" sz="900"/>
            <a:t> (e.g., “cash combo deal” at a slightly discounted price).</a:t>
          </a:r>
        </a:p>
        <a:p>
          <a:r>
            <a:rPr lang="en-GB" sz="900" b="1"/>
            <a:t>5. Data-Driven Incentives</a:t>
          </a:r>
          <a:endParaRPr lang="en-GB" sz="900"/>
        </a:p>
        <a:p>
          <a:r>
            <a:rPr lang="en-GB" sz="900"/>
            <a:t>Offer </a:t>
          </a:r>
          <a:r>
            <a:rPr lang="en-GB" sz="900" b="1"/>
            <a:t>discounts for card payments</a:t>
          </a:r>
          <a:r>
            <a:rPr lang="en-GB" sz="900"/>
            <a:t> during peak hours to speed up queues.</a:t>
          </a:r>
        </a:p>
        <a:p>
          <a:r>
            <a:rPr lang="en-GB" sz="900"/>
            <a:t>Test </a:t>
          </a:r>
          <a:r>
            <a:rPr lang="en-GB" sz="900" b="1"/>
            <a:t>“cash discounts” on slow days</a:t>
          </a:r>
          <a:r>
            <a:rPr lang="en-GB" sz="900"/>
            <a:t> (Tue/Thu) to attract the cash-preferred customers.</a:t>
          </a:r>
        </a:p>
        <a:p>
          <a:r>
            <a:rPr lang="en-GB" sz="900" b="1"/>
            <a:t>6. Marketing Messaging</a:t>
          </a:r>
          <a:endParaRPr lang="en-GB" sz="900"/>
        </a:p>
        <a:p>
          <a:r>
            <a:rPr lang="en-GB" sz="900"/>
            <a:t>Emphasize </a:t>
          </a:r>
          <a:r>
            <a:rPr lang="en-GB" sz="900" b="1"/>
            <a:t>ease, speed, and security</a:t>
          </a:r>
          <a:r>
            <a:rPr lang="en-GB" sz="900"/>
            <a:t> of card payments in promotions.</a:t>
          </a:r>
          <a:r>
            <a:rPr lang="en-GB" sz="900" baseline="0"/>
            <a:t> </a:t>
          </a:r>
          <a:r>
            <a:rPr lang="en-GB" sz="900"/>
            <a:t>Reassure cash users that their payment option is still welcomed.</a:t>
          </a:r>
        </a:p>
        <a:p>
          <a:r>
            <a:rPr lang="en-GB" sz="900" b="1"/>
            <a:t>7. Operational Efficiency</a:t>
          </a:r>
          <a:endParaRPr lang="en-GB" sz="900"/>
        </a:p>
        <a:p>
          <a:r>
            <a:rPr lang="en-GB" sz="900"/>
            <a:t>Train staff to handle card transactions quickly.</a:t>
          </a:r>
        </a:p>
        <a:p>
          <a:r>
            <a:rPr lang="en-GB" sz="900"/>
            <a:t>Reduce excess cash on-site by encouraging </a:t>
          </a:r>
          <a:r>
            <a:rPr lang="en-GB" sz="900" b="1"/>
            <a:t>end-of-day bank drops</a:t>
          </a:r>
          <a:r>
            <a:rPr lang="en-GB" sz="900"/>
            <a:t> to minimize risk.</a:t>
          </a:r>
        </a:p>
        <a:p>
          <a:pPr algn="l"/>
          <a:endParaRPr lang="en-NG" sz="1100">
            <a:solidFill>
              <a:schemeClr val="bg1"/>
            </a:solidFill>
          </a:endParaRPr>
        </a:p>
      </xdr:txBody>
    </xdr:sp>
    <xdr:clientData/>
  </xdr:twoCellAnchor>
  <xdr:twoCellAnchor>
    <xdr:from>
      <xdr:col>16</xdr:col>
      <xdr:colOff>63500</xdr:colOff>
      <xdr:row>27</xdr:row>
      <xdr:rowOff>158750</xdr:rowOff>
    </xdr:from>
    <xdr:to>
      <xdr:col>22</xdr:col>
      <xdr:colOff>558800</xdr:colOff>
      <xdr:row>52</xdr:row>
      <xdr:rowOff>57150</xdr:rowOff>
    </xdr:to>
    <xdr:sp macro="" textlink="">
      <xdr:nvSpPr>
        <xdr:cNvPr id="6" name="Rectangle: Rounded Corners 5">
          <a:extLst>
            <a:ext uri="{FF2B5EF4-FFF2-40B4-BE49-F238E27FC236}">
              <a16:creationId xmlns:a16="http://schemas.microsoft.com/office/drawing/2014/main" id="{798276C2-2154-42C0-B63B-FF711ABFA3C2}"/>
            </a:ext>
          </a:extLst>
        </xdr:cNvPr>
        <xdr:cNvSpPr/>
      </xdr:nvSpPr>
      <xdr:spPr>
        <a:xfrm>
          <a:off x="9817100" y="5130800"/>
          <a:ext cx="4152900" cy="4502150"/>
        </a:xfrm>
        <a:prstGeom prst="roundRect">
          <a:avLst>
            <a:gd name="adj" fmla="val 5667"/>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chemeClr val="bg1"/>
              </a:solidFill>
            </a:rPr>
            <a:t>GENERAL</a:t>
          </a:r>
          <a:r>
            <a:rPr lang="en-GB" sz="1100" baseline="0">
              <a:solidFill>
                <a:schemeClr val="bg1"/>
              </a:solidFill>
            </a:rPr>
            <a:t> RECOMMENDATION</a:t>
          </a:r>
          <a:endParaRPr lang="en-GB" sz="1100">
            <a:solidFill>
              <a:schemeClr val="bg1"/>
            </a:solidFill>
          </a:endParaRPr>
        </a:p>
        <a:p>
          <a:r>
            <a:rPr lang="en-GB" sz="900" b="1"/>
            <a:t>1. Replicate February Boost</a:t>
          </a:r>
          <a:endParaRPr lang="en-GB" sz="900"/>
        </a:p>
        <a:p>
          <a:r>
            <a:rPr lang="en-GB" sz="900"/>
            <a:t>Since February slightly outperformed, identify what drove the </a:t>
          </a:r>
          <a:r>
            <a:rPr lang="en-GB" sz="900" b="1"/>
            <a:t>extra demand</a:t>
          </a:r>
          <a:r>
            <a:rPr lang="en-GB" sz="900"/>
            <a:t> (e.g., Valentine’s promotions, seasonal campaigns, weather).</a:t>
          </a:r>
          <a:r>
            <a:rPr lang="en-GB" sz="900" baseline="0"/>
            <a:t> </a:t>
          </a:r>
          <a:r>
            <a:rPr lang="en-GB" sz="900"/>
            <a:t>Recreate similar </a:t>
          </a:r>
          <a:r>
            <a:rPr lang="en-GB" sz="900" b="1"/>
            <a:t>event-driven promotions</a:t>
          </a:r>
          <a:r>
            <a:rPr lang="en-GB" sz="900"/>
            <a:t> in other months.</a:t>
          </a:r>
        </a:p>
        <a:p>
          <a:r>
            <a:rPr lang="en-GB" sz="900" b="1"/>
            <a:t>2. Stabilize March and Similar Months</a:t>
          </a:r>
          <a:endParaRPr lang="en-GB" sz="900"/>
        </a:p>
        <a:p>
          <a:r>
            <a:rPr lang="en-GB" sz="900"/>
            <a:t>Introduce </a:t>
          </a:r>
          <a:r>
            <a:rPr lang="en-GB" sz="900" b="1"/>
            <a:t>mid-month campaigns</a:t>
          </a:r>
          <a:r>
            <a:rPr lang="en-GB" sz="900"/>
            <a:t> in March to close the 4% revenue gap.</a:t>
          </a:r>
        </a:p>
        <a:p>
          <a:r>
            <a:rPr lang="en-GB" sz="900" b="1"/>
            <a:t>3.</a:t>
          </a:r>
          <a:r>
            <a:rPr lang="en-GB" sz="900" b="1" baseline="0"/>
            <a:t> </a:t>
          </a:r>
          <a:r>
            <a:rPr lang="en-GB" sz="900" b="1"/>
            <a:t>Leverage Seasonal Opportunities</a:t>
          </a:r>
          <a:endParaRPr lang="en-GB" sz="900"/>
        </a:p>
        <a:p>
          <a:r>
            <a:rPr lang="en-GB" sz="900"/>
            <a:t>Use </a:t>
          </a:r>
          <a:r>
            <a:rPr lang="en-GB" sz="900" b="1"/>
            <a:t>holiday calendars</a:t>
          </a:r>
          <a:r>
            <a:rPr lang="en-GB" sz="900"/>
            <a:t> to align drinks and promotions with customer moods (e.g., iced beverages in hotter months, spiced drinks in colder months).</a:t>
          </a:r>
          <a:r>
            <a:rPr lang="en-GB" sz="900" baseline="0"/>
            <a:t> </a:t>
          </a:r>
          <a:r>
            <a:rPr lang="en-GB" sz="900"/>
            <a:t>Test </a:t>
          </a:r>
          <a:r>
            <a:rPr lang="en-GB" sz="900" b="1"/>
            <a:t>seasonal limited editions</a:t>
          </a:r>
          <a:r>
            <a:rPr lang="en-GB" sz="900"/>
            <a:t> to boost interest.</a:t>
          </a:r>
        </a:p>
        <a:p>
          <a:r>
            <a:rPr lang="en-GB" sz="900" b="1"/>
            <a:t>4.</a:t>
          </a:r>
          <a:r>
            <a:rPr lang="en-GB" sz="900" b="1" baseline="0"/>
            <a:t> </a:t>
          </a:r>
          <a:r>
            <a:rPr lang="en-GB" sz="900" b="1"/>
            <a:t>Customer Retention Between Months</a:t>
          </a:r>
          <a:endParaRPr lang="en-GB" sz="900"/>
        </a:p>
        <a:p>
          <a:r>
            <a:rPr lang="en-GB" sz="900"/>
            <a:t>Encourage </a:t>
          </a:r>
          <a:r>
            <a:rPr lang="en-GB" sz="900" b="1"/>
            <a:t>repeat visits</a:t>
          </a:r>
          <a:r>
            <a:rPr lang="en-GB" sz="900"/>
            <a:t> through loyalty programs to keep momentum going after event-driven peaks (e.g., reward points for February buyers redeemable in March).</a:t>
          </a:r>
        </a:p>
        <a:p>
          <a:r>
            <a:rPr lang="en-GB" sz="900" b="1"/>
            <a:t>5.</a:t>
          </a:r>
          <a:r>
            <a:rPr lang="en-GB" sz="900" b="1" baseline="0"/>
            <a:t> </a:t>
          </a:r>
          <a:r>
            <a:rPr lang="en-GB" sz="900" b="1"/>
            <a:t>Data Expansion for Stronger Insights</a:t>
          </a:r>
          <a:endParaRPr lang="en-GB" sz="900"/>
        </a:p>
        <a:p>
          <a:r>
            <a:rPr lang="en-GB" sz="900"/>
            <a:t>Continue tracking across more months to confirm if February is consistently stronger or if this is a one-off.</a:t>
          </a:r>
        </a:p>
        <a:p>
          <a:r>
            <a:rPr lang="en-GB" sz="900"/>
            <a:t>Compare revenue patterns with </a:t>
          </a:r>
          <a:r>
            <a:rPr lang="en-GB" sz="900" b="1"/>
            <a:t>external factors</a:t>
          </a:r>
          <a:r>
            <a:rPr lang="en-GB" sz="900"/>
            <a:t> (weather, holidays, local events) to forecast better.</a:t>
          </a:r>
        </a:p>
        <a:p>
          <a:pPr algn="l"/>
          <a:endParaRPr lang="en-NG" sz="1100">
            <a:solidFill>
              <a:schemeClr val="bg1"/>
            </a:solidFill>
          </a:endParaRPr>
        </a:p>
      </xdr:txBody>
    </xdr:sp>
    <xdr:clientData/>
  </xdr:twoCellAnchor>
  <xdr:twoCellAnchor>
    <xdr:from>
      <xdr:col>16</xdr:col>
      <xdr:colOff>114300</xdr:colOff>
      <xdr:row>0</xdr:row>
      <xdr:rowOff>171450</xdr:rowOff>
    </xdr:from>
    <xdr:to>
      <xdr:col>22</xdr:col>
      <xdr:colOff>584200</xdr:colOff>
      <xdr:row>25</xdr:row>
      <xdr:rowOff>82550</xdr:rowOff>
    </xdr:to>
    <xdr:sp macro="" textlink="">
      <xdr:nvSpPr>
        <xdr:cNvPr id="7" name="Rectangle: Rounded Corners 6">
          <a:extLst>
            <a:ext uri="{FF2B5EF4-FFF2-40B4-BE49-F238E27FC236}">
              <a16:creationId xmlns:a16="http://schemas.microsoft.com/office/drawing/2014/main" id="{B3863129-3854-43FB-9E02-EF99D888BF0B}"/>
            </a:ext>
          </a:extLst>
        </xdr:cNvPr>
        <xdr:cNvSpPr/>
      </xdr:nvSpPr>
      <xdr:spPr>
        <a:xfrm>
          <a:off x="9867900" y="171450"/>
          <a:ext cx="4127500" cy="4514850"/>
        </a:xfrm>
        <a:prstGeom prst="roundRect">
          <a:avLst>
            <a:gd name="adj" fmla="val 5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chemeClr val="accent2">
                  <a:lumMod val="50000"/>
                </a:schemeClr>
              </a:solidFill>
            </a:rPr>
            <a:t>GENERAL RECOMMENDATION</a:t>
          </a:r>
        </a:p>
        <a:p>
          <a:r>
            <a:rPr lang="en-GB" sz="900" b="1">
              <a:solidFill>
                <a:schemeClr val="accent2">
                  <a:lumMod val="50000"/>
                </a:schemeClr>
              </a:solidFill>
            </a:rPr>
            <a:t>1. Prioritize the Anchor – Americano with Milk</a:t>
          </a:r>
          <a:endParaRPr lang="en-GB" sz="900" b="0">
            <a:solidFill>
              <a:schemeClr val="accent2">
                <a:lumMod val="50000"/>
              </a:schemeClr>
            </a:solidFill>
          </a:endParaRPr>
        </a:p>
        <a:p>
          <a:r>
            <a:rPr lang="en-GB" sz="900">
              <a:solidFill>
                <a:schemeClr val="accent2">
                  <a:lumMod val="50000"/>
                </a:schemeClr>
              </a:solidFill>
            </a:rPr>
            <a:t>With </a:t>
          </a:r>
          <a:r>
            <a:rPr lang="en-GB" sz="900" b="1">
              <a:solidFill>
                <a:schemeClr val="accent2">
                  <a:lumMod val="50000"/>
                </a:schemeClr>
              </a:solidFill>
            </a:rPr>
            <a:t>44 units sold</a:t>
          </a:r>
          <a:r>
            <a:rPr lang="en-GB" sz="900">
              <a:solidFill>
                <a:schemeClr val="accent2">
                  <a:lumMod val="50000"/>
                </a:schemeClr>
              </a:solidFill>
            </a:rPr>
            <a:t>, it’s the </a:t>
          </a:r>
          <a:r>
            <a:rPr lang="en-GB" sz="900" b="1">
              <a:solidFill>
                <a:schemeClr val="accent2">
                  <a:lumMod val="50000"/>
                </a:schemeClr>
              </a:solidFill>
            </a:rPr>
            <a:t>most popular by far</a:t>
          </a:r>
          <a:r>
            <a:rPr lang="en-GB" sz="900" b="0">
              <a:solidFill>
                <a:schemeClr val="accent2">
                  <a:lumMod val="50000"/>
                </a:schemeClr>
              </a:solidFill>
            </a:rPr>
            <a:t>,</a:t>
          </a:r>
          <a:r>
            <a:rPr lang="en-GB" sz="900">
              <a:solidFill>
                <a:schemeClr val="accent2">
                  <a:lumMod val="50000"/>
                </a:schemeClr>
              </a:solidFill>
            </a:rPr>
            <a:t> position it as a </a:t>
          </a:r>
          <a:r>
            <a:rPr lang="en-GB" sz="900" b="1">
              <a:solidFill>
                <a:schemeClr val="accent2">
                  <a:lumMod val="50000"/>
                </a:schemeClr>
              </a:solidFill>
            </a:rPr>
            <a:t>signature drink</a:t>
          </a:r>
          <a:r>
            <a:rPr lang="en-GB" sz="900">
              <a:solidFill>
                <a:schemeClr val="accent2">
                  <a:lumMod val="50000"/>
                </a:schemeClr>
              </a:solidFill>
            </a:rPr>
            <a:t>.</a:t>
          </a:r>
          <a:r>
            <a:rPr lang="en-GB" sz="900" baseline="0">
              <a:solidFill>
                <a:schemeClr val="accent2">
                  <a:lumMod val="50000"/>
                </a:schemeClr>
              </a:solidFill>
            </a:rPr>
            <a:t> </a:t>
          </a:r>
          <a:r>
            <a:rPr lang="en-GB" sz="900">
              <a:solidFill>
                <a:schemeClr val="accent2">
                  <a:lumMod val="50000"/>
                </a:schemeClr>
              </a:solidFill>
            </a:rPr>
            <a:t>Experiment with </a:t>
          </a:r>
          <a:r>
            <a:rPr lang="en-GB" sz="900" b="1">
              <a:solidFill>
                <a:schemeClr val="accent2">
                  <a:lumMod val="50000"/>
                </a:schemeClr>
              </a:solidFill>
            </a:rPr>
            <a:t>flavor variations (vanilla, caramel)</a:t>
          </a:r>
          <a:r>
            <a:rPr lang="en-GB" sz="900">
              <a:solidFill>
                <a:schemeClr val="accent2">
                  <a:lumMod val="50000"/>
                </a:schemeClr>
              </a:solidFill>
            </a:rPr>
            <a:t> to expand its dominance.</a:t>
          </a:r>
        </a:p>
        <a:p>
          <a:r>
            <a:rPr lang="en-GB" sz="900" b="1">
              <a:solidFill>
                <a:schemeClr val="accent2">
                  <a:lumMod val="50000"/>
                </a:schemeClr>
              </a:solidFill>
            </a:rPr>
            <a:t>2. Strengthen Latte’s Position</a:t>
          </a:r>
          <a:endParaRPr lang="en-GB" sz="900" b="0">
            <a:solidFill>
              <a:schemeClr val="accent2">
                <a:lumMod val="50000"/>
              </a:schemeClr>
            </a:solidFill>
          </a:endParaRPr>
        </a:p>
        <a:p>
          <a:r>
            <a:rPr lang="en-GB" sz="900">
              <a:solidFill>
                <a:schemeClr val="accent2">
                  <a:lumMod val="50000"/>
                </a:schemeClr>
              </a:solidFill>
            </a:rPr>
            <a:t>At </a:t>
          </a:r>
          <a:r>
            <a:rPr lang="en-GB" sz="900" b="1">
              <a:solidFill>
                <a:schemeClr val="accent2">
                  <a:lumMod val="50000"/>
                </a:schemeClr>
              </a:solidFill>
            </a:rPr>
            <a:t>24 units</a:t>
          </a:r>
          <a:r>
            <a:rPr lang="en-GB" sz="900">
              <a:solidFill>
                <a:schemeClr val="accent2">
                  <a:lumMod val="50000"/>
                </a:schemeClr>
              </a:solidFill>
            </a:rPr>
            <a:t>, Latte is a steady performer and appeals to customers who like </a:t>
          </a:r>
          <a:r>
            <a:rPr lang="en-GB" sz="900" b="1">
              <a:solidFill>
                <a:schemeClr val="accent2">
                  <a:lumMod val="50000"/>
                </a:schemeClr>
              </a:solidFill>
            </a:rPr>
            <a:t>creamy, comforting drinks</a:t>
          </a:r>
          <a:r>
            <a:rPr lang="en-GB" sz="900">
              <a:solidFill>
                <a:schemeClr val="accent2">
                  <a:lumMod val="50000"/>
                </a:schemeClr>
              </a:solidFill>
            </a:rPr>
            <a:t>.</a:t>
          </a:r>
        </a:p>
        <a:p>
          <a:r>
            <a:rPr lang="en-GB" sz="900" b="1">
              <a:solidFill>
                <a:schemeClr val="accent2">
                  <a:lumMod val="50000"/>
                </a:schemeClr>
              </a:solidFill>
            </a:rPr>
            <a:t>3.</a:t>
          </a:r>
          <a:r>
            <a:rPr lang="en-GB" sz="900" b="1" baseline="0">
              <a:solidFill>
                <a:schemeClr val="accent2">
                  <a:lumMod val="50000"/>
                </a:schemeClr>
              </a:solidFill>
            </a:rPr>
            <a:t> </a:t>
          </a:r>
          <a:r>
            <a:rPr lang="en-GB" sz="900" b="1">
              <a:solidFill>
                <a:schemeClr val="accent2">
                  <a:lumMod val="50000"/>
                </a:schemeClr>
              </a:solidFill>
            </a:rPr>
            <a:t>Capitalize on Premium Segment (Irish Whiskey Variants)</a:t>
          </a:r>
          <a:endParaRPr lang="en-GB" sz="900" b="0">
            <a:solidFill>
              <a:schemeClr val="accent2">
                <a:lumMod val="50000"/>
              </a:schemeClr>
            </a:solidFill>
          </a:endParaRPr>
        </a:p>
        <a:p>
          <a:r>
            <a:rPr lang="en-GB" sz="900" b="1">
              <a:solidFill>
                <a:schemeClr val="accent2">
                  <a:lumMod val="50000"/>
                </a:schemeClr>
              </a:solidFill>
            </a:rPr>
            <a:t>Irish whiskey (21 units)</a:t>
          </a:r>
          <a:r>
            <a:rPr lang="en-GB" sz="900">
              <a:solidFill>
                <a:schemeClr val="accent2">
                  <a:lumMod val="50000"/>
                </a:schemeClr>
              </a:solidFill>
            </a:rPr>
            <a:t> and </a:t>
          </a:r>
          <a:r>
            <a:rPr lang="en-GB" sz="900" b="1">
              <a:solidFill>
                <a:schemeClr val="accent2">
                  <a:lumMod val="50000"/>
                </a:schemeClr>
              </a:solidFill>
            </a:rPr>
            <a:t>Coffee with Irish whiskey (16 units)</a:t>
          </a:r>
          <a:r>
            <a:rPr lang="en-GB" sz="900">
              <a:solidFill>
                <a:schemeClr val="accent2">
                  <a:lumMod val="50000"/>
                </a:schemeClr>
              </a:solidFill>
            </a:rPr>
            <a:t> prove there’s demand for </a:t>
          </a:r>
          <a:r>
            <a:rPr lang="en-GB" sz="900" b="1">
              <a:solidFill>
                <a:schemeClr val="accent2">
                  <a:lumMod val="50000"/>
                </a:schemeClr>
              </a:solidFill>
            </a:rPr>
            <a:t>specialty/premium beverages</a:t>
          </a:r>
          <a:r>
            <a:rPr lang="en-GB" sz="900">
              <a:solidFill>
                <a:schemeClr val="accent2">
                  <a:lumMod val="50000"/>
                </a:schemeClr>
              </a:solidFill>
            </a:rPr>
            <a:t>.</a:t>
          </a:r>
          <a:r>
            <a:rPr lang="en-GB" sz="900" baseline="0">
              <a:solidFill>
                <a:schemeClr val="accent2">
                  <a:lumMod val="50000"/>
                </a:schemeClr>
              </a:solidFill>
            </a:rPr>
            <a:t> </a:t>
          </a:r>
          <a:r>
            <a:rPr lang="en-GB" sz="900">
              <a:solidFill>
                <a:schemeClr val="accent2">
                  <a:lumMod val="50000"/>
                </a:schemeClr>
              </a:solidFill>
            </a:rPr>
            <a:t>Consider introducing </a:t>
          </a:r>
          <a:r>
            <a:rPr lang="en-GB" sz="900" b="1">
              <a:solidFill>
                <a:schemeClr val="accent2">
                  <a:lumMod val="50000"/>
                </a:schemeClr>
              </a:solidFill>
            </a:rPr>
            <a:t>seasonal alcoholic specials</a:t>
          </a:r>
          <a:r>
            <a:rPr lang="en-GB" sz="900">
              <a:solidFill>
                <a:schemeClr val="accent2">
                  <a:lumMod val="50000"/>
                </a:schemeClr>
              </a:solidFill>
            </a:rPr>
            <a:t> (e.g., Baileys Latte, Spiced Irish Coffee).</a:t>
          </a:r>
        </a:p>
        <a:p>
          <a:r>
            <a:rPr lang="en-GB" sz="900" b="1">
              <a:solidFill>
                <a:schemeClr val="accent2">
                  <a:lumMod val="50000"/>
                </a:schemeClr>
              </a:solidFill>
            </a:rPr>
            <a:t>4. Keep Espresso as a Core Offering</a:t>
          </a:r>
          <a:endParaRPr lang="en-GB" sz="900" b="0">
            <a:solidFill>
              <a:schemeClr val="accent2">
                <a:lumMod val="50000"/>
              </a:schemeClr>
            </a:solidFill>
          </a:endParaRPr>
        </a:p>
        <a:p>
          <a:r>
            <a:rPr lang="en-GB" sz="900">
              <a:solidFill>
                <a:schemeClr val="accent2">
                  <a:lumMod val="50000"/>
                </a:schemeClr>
              </a:solidFill>
            </a:rPr>
            <a:t>With </a:t>
          </a:r>
          <a:r>
            <a:rPr lang="en-GB" sz="900" b="1">
              <a:solidFill>
                <a:schemeClr val="accent2">
                  <a:lumMod val="50000"/>
                </a:schemeClr>
              </a:solidFill>
            </a:rPr>
            <a:t>18 units</a:t>
          </a:r>
          <a:r>
            <a:rPr lang="en-GB" sz="900">
              <a:solidFill>
                <a:schemeClr val="accent2">
                  <a:lumMod val="50000"/>
                </a:schemeClr>
              </a:solidFill>
            </a:rPr>
            <a:t>, Espresso is a staple.</a:t>
          </a:r>
          <a:r>
            <a:rPr lang="en-GB" sz="900" baseline="0">
              <a:solidFill>
                <a:schemeClr val="accent2">
                  <a:lumMod val="50000"/>
                </a:schemeClr>
              </a:solidFill>
            </a:rPr>
            <a:t> </a:t>
          </a:r>
          <a:r>
            <a:rPr lang="en-GB" sz="900">
              <a:solidFill>
                <a:schemeClr val="accent2">
                  <a:lumMod val="50000"/>
                </a:schemeClr>
              </a:solidFill>
            </a:rPr>
            <a:t>Promote it in </a:t>
          </a:r>
          <a:r>
            <a:rPr lang="en-GB" sz="900" b="1">
              <a:solidFill>
                <a:schemeClr val="accent2">
                  <a:lumMod val="50000"/>
                </a:schemeClr>
              </a:solidFill>
            </a:rPr>
            <a:t>“quick energy” campaigns</a:t>
          </a:r>
          <a:r>
            <a:rPr lang="en-GB" sz="900">
              <a:solidFill>
                <a:schemeClr val="accent2">
                  <a:lumMod val="50000"/>
                </a:schemeClr>
              </a:solidFill>
            </a:rPr>
            <a:t> targeting office workers, students, or commuters.</a:t>
          </a:r>
        </a:p>
        <a:p>
          <a:r>
            <a:rPr lang="en-GB" sz="900" b="1">
              <a:solidFill>
                <a:schemeClr val="accent2">
                  <a:lumMod val="50000"/>
                </a:schemeClr>
              </a:solidFill>
            </a:rPr>
            <a:t>5.</a:t>
          </a:r>
          <a:r>
            <a:rPr lang="en-GB" sz="900" b="1" baseline="0">
              <a:solidFill>
                <a:schemeClr val="accent2">
                  <a:lumMod val="50000"/>
                </a:schemeClr>
              </a:solidFill>
            </a:rPr>
            <a:t> </a:t>
          </a:r>
          <a:r>
            <a:rPr lang="en-GB" sz="900" b="1">
              <a:solidFill>
                <a:schemeClr val="accent2">
                  <a:lumMod val="50000"/>
                </a:schemeClr>
              </a:solidFill>
            </a:rPr>
            <a:t>Support Secondary Options (Tea &amp; Cappuccino)</a:t>
          </a:r>
          <a:endParaRPr lang="en-GB" sz="900" b="0">
            <a:solidFill>
              <a:schemeClr val="accent2">
                <a:lumMod val="50000"/>
              </a:schemeClr>
            </a:solidFill>
          </a:endParaRPr>
        </a:p>
        <a:p>
          <a:r>
            <a:rPr lang="en-GB" sz="900">
              <a:solidFill>
                <a:schemeClr val="accent2">
                  <a:lumMod val="50000"/>
                </a:schemeClr>
              </a:solidFill>
            </a:rPr>
            <a:t>Although not leaders, </a:t>
          </a:r>
          <a:r>
            <a:rPr lang="en-GB" sz="900" b="1">
              <a:solidFill>
                <a:schemeClr val="accent2">
                  <a:lumMod val="50000"/>
                </a:schemeClr>
              </a:solidFill>
            </a:rPr>
            <a:t>Tea (16)</a:t>
          </a:r>
          <a:r>
            <a:rPr lang="en-GB" sz="900">
              <a:solidFill>
                <a:schemeClr val="accent2">
                  <a:lumMod val="50000"/>
                </a:schemeClr>
              </a:solidFill>
            </a:rPr>
            <a:t> and </a:t>
          </a:r>
          <a:r>
            <a:rPr lang="en-GB" sz="900" b="1">
              <a:solidFill>
                <a:schemeClr val="accent2">
                  <a:lumMod val="50000"/>
                </a:schemeClr>
              </a:solidFill>
            </a:rPr>
            <a:t>Cappuccino (16)</a:t>
          </a:r>
          <a:r>
            <a:rPr lang="en-GB" sz="900">
              <a:solidFill>
                <a:schemeClr val="accent2">
                  <a:lumMod val="50000"/>
                </a:schemeClr>
              </a:solidFill>
            </a:rPr>
            <a:t> show a </a:t>
          </a:r>
          <a:r>
            <a:rPr lang="en-GB" sz="900" b="1">
              <a:solidFill>
                <a:schemeClr val="accent2">
                  <a:lumMod val="50000"/>
                </a:schemeClr>
              </a:solidFill>
            </a:rPr>
            <a:t>stable niche demand</a:t>
          </a:r>
          <a:r>
            <a:rPr lang="en-GB" sz="900">
              <a:solidFill>
                <a:schemeClr val="accent2">
                  <a:lumMod val="50000"/>
                </a:schemeClr>
              </a:solidFill>
            </a:rPr>
            <a:t>.</a:t>
          </a:r>
          <a:r>
            <a:rPr lang="en-GB" sz="900" baseline="0">
              <a:solidFill>
                <a:schemeClr val="accent2">
                  <a:lumMod val="50000"/>
                </a:schemeClr>
              </a:solidFill>
            </a:rPr>
            <a:t> </a:t>
          </a:r>
          <a:r>
            <a:rPr lang="en-GB" sz="900">
              <a:solidFill>
                <a:schemeClr val="accent2">
                  <a:lumMod val="50000"/>
                </a:schemeClr>
              </a:solidFill>
            </a:rPr>
            <a:t>Use them to attract </a:t>
          </a:r>
          <a:r>
            <a:rPr lang="en-GB" sz="900" b="1">
              <a:solidFill>
                <a:schemeClr val="accent2">
                  <a:lumMod val="50000"/>
                </a:schemeClr>
              </a:solidFill>
            </a:rPr>
            <a:t>non-coffee drinkers</a:t>
          </a:r>
          <a:r>
            <a:rPr lang="en-GB" sz="900">
              <a:solidFill>
                <a:schemeClr val="accent2">
                  <a:lumMod val="50000"/>
                </a:schemeClr>
              </a:solidFill>
            </a:rPr>
            <a:t> (Tea) and </a:t>
          </a:r>
          <a:r>
            <a:rPr lang="en-GB" sz="900" b="1">
              <a:solidFill>
                <a:schemeClr val="accent2">
                  <a:lumMod val="50000"/>
                </a:schemeClr>
              </a:solidFill>
            </a:rPr>
            <a:t>classic lovers</a:t>
          </a:r>
          <a:r>
            <a:rPr lang="en-GB" sz="900">
              <a:solidFill>
                <a:schemeClr val="accent2">
                  <a:lumMod val="50000"/>
                </a:schemeClr>
              </a:solidFill>
            </a:rPr>
            <a:t> (Cappuccino).</a:t>
          </a:r>
        </a:p>
        <a:p>
          <a:r>
            <a:rPr lang="en-GB" sz="900" b="1">
              <a:solidFill>
                <a:schemeClr val="accent2">
                  <a:lumMod val="50000"/>
                </a:schemeClr>
              </a:solidFill>
            </a:rPr>
            <a:t>6. Marketing &amp; Promotions</a:t>
          </a:r>
          <a:endParaRPr lang="en-GB" sz="900" b="0">
            <a:solidFill>
              <a:schemeClr val="accent2">
                <a:lumMod val="50000"/>
              </a:schemeClr>
            </a:solidFill>
          </a:endParaRPr>
        </a:p>
        <a:p>
          <a:r>
            <a:rPr lang="en-GB" sz="900">
              <a:solidFill>
                <a:schemeClr val="accent2">
                  <a:lumMod val="50000"/>
                </a:schemeClr>
              </a:solidFill>
            </a:rPr>
            <a:t>Promote Americano, Latte, and Irish Whiskey as </a:t>
          </a:r>
          <a:r>
            <a:rPr lang="en-GB" sz="900" b="1">
              <a:solidFill>
                <a:schemeClr val="accent2">
                  <a:lumMod val="50000"/>
                </a:schemeClr>
              </a:solidFill>
            </a:rPr>
            <a:t>“Top 3 Customer Favorites”</a:t>
          </a:r>
          <a:r>
            <a:rPr lang="en-GB" sz="900">
              <a:solidFill>
                <a:schemeClr val="accent2">
                  <a:lumMod val="50000"/>
                </a:schemeClr>
              </a:solidFill>
            </a:rPr>
            <a:t> in ads.</a:t>
          </a:r>
          <a:r>
            <a:rPr lang="en-GB" sz="900" baseline="0">
              <a:solidFill>
                <a:schemeClr val="accent2">
                  <a:lumMod val="50000"/>
                </a:schemeClr>
              </a:solidFill>
            </a:rPr>
            <a:t> </a:t>
          </a:r>
          <a:r>
            <a:rPr lang="en-GB" sz="900">
              <a:solidFill>
                <a:schemeClr val="accent2">
                  <a:lumMod val="50000"/>
                </a:schemeClr>
              </a:solidFill>
            </a:rPr>
            <a:t>Use seasonal campaigns to highlight </a:t>
          </a:r>
          <a:r>
            <a:rPr lang="en-GB" sz="900" b="1">
              <a:solidFill>
                <a:schemeClr val="accent2">
                  <a:lumMod val="50000"/>
                </a:schemeClr>
              </a:solidFill>
            </a:rPr>
            <a:t>secondary options</a:t>
          </a:r>
          <a:r>
            <a:rPr lang="en-GB" sz="900">
              <a:solidFill>
                <a:schemeClr val="accent2">
                  <a:lumMod val="50000"/>
                </a:schemeClr>
              </a:solidFill>
            </a:rPr>
            <a:t> like Cappuccino and Tea.</a:t>
          </a:r>
        </a:p>
        <a:p>
          <a:endParaRPr lang="en-NG" sz="1100" b="0">
            <a:solidFill>
              <a:schemeClr val="accent2">
                <a:lumMod val="50000"/>
              </a:schemeClr>
            </a:solidFill>
          </a:endParaRPr>
        </a:p>
      </xdr:txBody>
    </xdr:sp>
    <xdr:clientData/>
  </xdr:twoCellAnchor>
  <xdr:twoCellAnchor>
    <xdr:from>
      <xdr:col>23</xdr:col>
      <xdr:colOff>241300</xdr:colOff>
      <xdr:row>27</xdr:row>
      <xdr:rowOff>177800</xdr:rowOff>
    </xdr:from>
    <xdr:to>
      <xdr:col>30</xdr:col>
      <xdr:colOff>101600</xdr:colOff>
      <xdr:row>52</xdr:row>
      <xdr:rowOff>88900</xdr:rowOff>
    </xdr:to>
    <xdr:sp macro="" textlink="">
      <xdr:nvSpPr>
        <xdr:cNvPr id="8" name="Rectangle: Rounded Corners 7">
          <a:extLst>
            <a:ext uri="{FF2B5EF4-FFF2-40B4-BE49-F238E27FC236}">
              <a16:creationId xmlns:a16="http://schemas.microsoft.com/office/drawing/2014/main" id="{C639580E-1D38-4A0F-89BB-9CE11CBA3EB6}"/>
            </a:ext>
          </a:extLst>
        </xdr:cNvPr>
        <xdr:cNvSpPr/>
      </xdr:nvSpPr>
      <xdr:spPr>
        <a:xfrm>
          <a:off x="14262100" y="5149850"/>
          <a:ext cx="4127500" cy="4514850"/>
        </a:xfrm>
        <a:prstGeom prst="roundRect">
          <a:avLst>
            <a:gd name="adj" fmla="val 5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chemeClr val="accent2">
                  <a:lumMod val="50000"/>
                </a:schemeClr>
              </a:solidFill>
            </a:rPr>
            <a:t>GENERAL RECOMMENDATION</a:t>
          </a:r>
        </a:p>
        <a:p>
          <a:r>
            <a:rPr lang="en-GB" sz="900" b="1">
              <a:solidFill>
                <a:schemeClr val="accent2">
                  <a:lumMod val="50000"/>
                </a:schemeClr>
              </a:solidFill>
            </a:rPr>
            <a:t>1.</a:t>
          </a:r>
          <a:r>
            <a:rPr lang="en-GB" sz="900" b="1" baseline="0">
              <a:solidFill>
                <a:schemeClr val="accent2">
                  <a:lumMod val="50000"/>
                </a:schemeClr>
              </a:solidFill>
            </a:rPr>
            <a:t> </a:t>
          </a:r>
          <a:r>
            <a:rPr lang="en-GB" sz="900" b="1">
              <a:solidFill>
                <a:schemeClr val="accent2">
                  <a:lumMod val="50000"/>
                </a:schemeClr>
              </a:solidFill>
            </a:rPr>
            <a:t>Evening Boost Strategies (After-Work Crowd)</a:t>
          </a:r>
          <a:endParaRPr lang="en-GB" sz="900">
            <a:solidFill>
              <a:schemeClr val="accent2">
                <a:lumMod val="50000"/>
              </a:schemeClr>
            </a:solidFill>
          </a:endParaRPr>
        </a:p>
        <a:p>
          <a:r>
            <a:rPr lang="en-GB" sz="900">
              <a:solidFill>
                <a:schemeClr val="accent2">
                  <a:lumMod val="50000"/>
                </a:schemeClr>
              </a:solidFill>
            </a:rPr>
            <a:t>Since </a:t>
          </a:r>
          <a:r>
            <a:rPr lang="en-GB" sz="900" b="1">
              <a:solidFill>
                <a:schemeClr val="accent2">
                  <a:lumMod val="50000"/>
                </a:schemeClr>
              </a:solidFill>
            </a:rPr>
            <a:t>18:00+ hours are the highest revenue generators</a:t>
          </a:r>
          <a:r>
            <a:rPr lang="en-GB" sz="900">
              <a:solidFill>
                <a:schemeClr val="accent2">
                  <a:lumMod val="50000"/>
                </a:schemeClr>
              </a:solidFill>
            </a:rPr>
            <a:t>, the café should:</a:t>
          </a:r>
          <a:r>
            <a:rPr lang="en-GB" sz="900" baseline="0">
              <a:solidFill>
                <a:schemeClr val="accent2">
                  <a:lumMod val="50000"/>
                </a:schemeClr>
              </a:solidFill>
            </a:rPr>
            <a:t> </a:t>
          </a:r>
          <a:r>
            <a:rPr lang="en-GB" sz="900">
              <a:solidFill>
                <a:schemeClr val="accent2">
                  <a:lumMod val="50000"/>
                </a:schemeClr>
              </a:solidFill>
            </a:rPr>
            <a:t>Introduce </a:t>
          </a:r>
          <a:r>
            <a:rPr lang="en-GB" sz="900" b="1">
              <a:solidFill>
                <a:schemeClr val="accent2">
                  <a:lumMod val="50000"/>
                </a:schemeClr>
              </a:solidFill>
            </a:rPr>
            <a:t>happy-hour discounts</a:t>
          </a:r>
          <a:r>
            <a:rPr lang="en-GB" sz="900">
              <a:solidFill>
                <a:schemeClr val="accent2">
                  <a:lumMod val="50000"/>
                </a:schemeClr>
              </a:solidFill>
            </a:rPr>
            <a:t> or </a:t>
          </a:r>
          <a:r>
            <a:rPr lang="en-GB" sz="900" b="1">
              <a:solidFill>
                <a:schemeClr val="accent2">
                  <a:lumMod val="50000"/>
                </a:schemeClr>
              </a:solidFill>
            </a:rPr>
            <a:t>combo offers</a:t>
          </a:r>
          <a:r>
            <a:rPr lang="en-GB" sz="900">
              <a:solidFill>
                <a:schemeClr val="accent2">
                  <a:lumMod val="50000"/>
                </a:schemeClr>
              </a:solidFill>
            </a:rPr>
            <a:t> between </a:t>
          </a:r>
          <a:r>
            <a:rPr lang="en-GB" sz="900" b="1">
              <a:solidFill>
                <a:schemeClr val="accent2">
                  <a:lumMod val="50000"/>
                </a:schemeClr>
              </a:solidFill>
            </a:rPr>
            <a:t>6–7 pm</a:t>
          </a:r>
          <a:r>
            <a:rPr lang="en-GB" sz="900">
              <a:solidFill>
                <a:schemeClr val="accent2">
                  <a:lumMod val="50000"/>
                </a:schemeClr>
              </a:solidFill>
            </a:rPr>
            <a:t>.</a:t>
          </a:r>
          <a:r>
            <a:rPr lang="en-GB" sz="900" baseline="0">
              <a:solidFill>
                <a:schemeClr val="accent2">
                  <a:lumMod val="50000"/>
                </a:schemeClr>
              </a:solidFill>
            </a:rPr>
            <a:t> </a:t>
          </a:r>
          <a:r>
            <a:rPr lang="en-GB" sz="900">
              <a:solidFill>
                <a:schemeClr val="accent2">
                  <a:lumMod val="50000"/>
                </a:schemeClr>
              </a:solidFill>
            </a:rPr>
            <a:t>Offer </a:t>
          </a:r>
          <a:r>
            <a:rPr lang="en-GB" sz="900" b="1">
              <a:solidFill>
                <a:schemeClr val="accent2">
                  <a:lumMod val="50000"/>
                </a:schemeClr>
              </a:solidFill>
            </a:rPr>
            <a:t>relaxing add-ons</a:t>
          </a:r>
          <a:r>
            <a:rPr lang="en-GB" sz="900">
              <a:solidFill>
                <a:schemeClr val="accent2">
                  <a:lumMod val="50000"/>
                </a:schemeClr>
              </a:solidFill>
            </a:rPr>
            <a:t> (e.g., desserts, snacks, light meals) to encourage longer stays and higher spend.</a:t>
          </a:r>
        </a:p>
        <a:p>
          <a:r>
            <a:rPr lang="en-GB" sz="900" b="1">
              <a:solidFill>
                <a:schemeClr val="accent2">
                  <a:lumMod val="50000"/>
                </a:schemeClr>
              </a:solidFill>
            </a:rPr>
            <a:t>2.</a:t>
          </a:r>
          <a:r>
            <a:rPr lang="en-GB" sz="900" b="1" baseline="0">
              <a:solidFill>
                <a:schemeClr val="accent2">
                  <a:lumMod val="50000"/>
                </a:schemeClr>
              </a:solidFill>
            </a:rPr>
            <a:t> </a:t>
          </a:r>
          <a:r>
            <a:rPr lang="en-GB" sz="900" b="1">
              <a:solidFill>
                <a:schemeClr val="accent2">
                  <a:lumMod val="50000"/>
                </a:schemeClr>
              </a:solidFill>
            </a:rPr>
            <a:t>Midday Promotions (Lunch Break Effect)</a:t>
          </a:r>
          <a:endParaRPr lang="en-GB" sz="900">
            <a:solidFill>
              <a:schemeClr val="accent2">
                <a:lumMod val="50000"/>
              </a:schemeClr>
            </a:solidFill>
          </a:endParaRPr>
        </a:p>
        <a:p>
          <a:r>
            <a:rPr lang="en-GB" sz="900">
              <a:solidFill>
                <a:schemeClr val="accent2">
                  <a:lumMod val="50000"/>
                </a:schemeClr>
              </a:solidFill>
            </a:rPr>
            <a:t>Capitalize on </a:t>
          </a:r>
          <a:r>
            <a:rPr lang="en-GB" sz="900" b="1">
              <a:solidFill>
                <a:schemeClr val="accent2">
                  <a:lumMod val="50000"/>
                </a:schemeClr>
              </a:solidFill>
            </a:rPr>
            <a:t>12:00–1:00 pm demand</a:t>
          </a:r>
          <a:r>
            <a:rPr lang="en-GB" sz="900">
              <a:solidFill>
                <a:schemeClr val="accent2">
                  <a:lumMod val="50000"/>
                </a:schemeClr>
              </a:solidFill>
            </a:rPr>
            <a:t> with:</a:t>
          </a:r>
          <a:r>
            <a:rPr lang="en-GB" sz="900" baseline="0">
              <a:solidFill>
                <a:schemeClr val="accent2">
                  <a:lumMod val="50000"/>
                </a:schemeClr>
              </a:solidFill>
            </a:rPr>
            <a:t> </a:t>
          </a:r>
          <a:r>
            <a:rPr lang="en-GB" sz="900" b="1">
              <a:solidFill>
                <a:schemeClr val="accent2">
                  <a:lumMod val="50000"/>
                </a:schemeClr>
              </a:solidFill>
            </a:rPr>
            <a:t>Meal + beverage bundles</a:t>
          </a:r>
          <a:r>
            <a:rPr lang="en-GB" sz="900">
              <a:solidFill>
                <a:schemeClr val="accent2">
                  <a:lumMod val="50000"/>
                </a:schemeClr>
              </a:solidFill>
            </a:rPr>
            <a:t> (e.g., sandwich + coffee/tea).</a:t>
          </a:r>
          <a:r>
            <a:rPr lang="en-GB" sz="900" baseline="0">
              <a:solidFill>
                <a:schemeClr val="accent2">
                  <a:lumMod val="50000"/>
                </a:schemeClr>
              </a:solidFill>
            </a:rPr>
            <a:t> </a:t>
          </a:r>
          <a:r>
            <a:rPr lang="en-GB" sz="900" b="1">
              <a:solidFill>
                <a:schemeClr val="accent2">
                  <a:lumMod val="50000"/>
                </a:schemeClr>
              </a:solidFill>
            </a:rPr>
            <a:t>Corporate lunch deals</a:t>
          </a:r>
          <a:r>
            <a:rPr lang="en-GB" sz="900">
              <a:solidFill>
                <a:schemeClr val="accent2">
                  <a:lumMod val="50000"/>
                </a:schemeClr>
              </a:solidFill>
            </a:rPr>
            <a:t> targeting office workers nearby.</a:t>
          </a:r>
        </a:p>
        <a:p>
          <a:r>
            <a:rPr lang="en-GB" sz="900" b="1">
              <a:solidFill>
                <a:schemeClr val="accent2">
                  <a:lumMod val="50000"/>
                </a:schemeClr>
              </a:solidFill>
            </a:rPr>
            <a:t>3.</a:t>
          </a:r>
          <a:r>
            <a:rPr lang="en-GB" sz="900" b="1" baseline="0">
              <a:solidFill>
                <a:schemeClr val="accent2">
                  <a:lumMod val="50000"/>
                </a:schemeClr>
              </a:solidFill>
            </a:rPr>
            <a:t> </a:t>
          </a:r>
          <a:r>
            <a:rPr lang="en-GB" sz="900" b="1">
              <a:solidFill>
                <a:schemeClr val="accent2">
                  <a:lumMod val="50000"/>
                </a:schemeClr>
              </a:solidFill>
            </a:rPr>
            <a:t>Morning Rush Optimization</a:t>
          </a:r>
          <a:endParaRPr lang="en-GB" sz="900">
            <a:solidFill>
              <a:schemeClr val="accent2">
                <a:lumMod val="50000"/>
              </a:schemeClr>
            </a:solidFill>
          </a:endParaRPr>
        </a:p>
        <a:p>
          <a:r>
            <a:rPr lang="en-GB" sz="900">
              <a:solidFill>
                <a:schemeClr val="accent2">
                  <a:lumMod val="50000"/>
                </a:schemeClr>
              </a:solidFill>
            </a:rPr>
            <a:t>Since mornings are consistently strong (9–10 am), the café can:</a:t>
          </a:r>
          <a:r>
            <a:rPr lang="en-GB" sz="900" baseline="0">
              <a:solidFill>
                <a:schemeClr val="accent2">
                  <a:lumMod val="50000"/>
                </a:schemeClr>
              </a:solidFill>
            </a:rPr>
            <a:t> </a:t>
          </a:r>
          <a:r>
            <a:rPr lang="en-GB" sz="900">
              <a:solidFill>
                <a:schemeClr val="accent2">
                  <a:lumMod val="50000"/>
                </a:schemeClr>
              </a:solidFill>
            </a:rPr>
            <a:t>Ensure </a:t>
          </a:r>
          <a:r>
            <a:rPr lang="en-GB" sz="900" b="1">
              <a:solidFill>
                <a:schemeClr val="accent2">
                  <a:lumMod val="50000"/>
                </a:schemeClr>
              </a:solidFill>
            </a:rPr>
            <a:t>faster service</a:t>
          </a:r>
          <a:r>
            <a:rPr lang="en-GB" sz="900">
              <a:solidFill>
                <a:schemeClr val="accent2">
                  <a:lumMod val="50000"/>
                </a:schemeClr>
              </a:solidFill>
            </a:rPr>
            <a:t> with pre-brewed essentials.</a:t>
          </a:r>
          <a:r>
            <a:rPr lang="en-GB" sz="900" baseline="0">
              <a:solidFill>
                <a:schemeClr val="accent2">
                  <a:lumMod val="50000"/>
                </a:schemeClr>
              </a:solidFill>
            </a:rPr>
            <a:t> </a:t>
          </a:r>
          <a:r>
            <a:rPr lang="en-GB" sz="900">
              <a:solidFill>
                <a:schemeClr val="accent2">
                  <a:lumMod val="50000"/>
                </a:schemeClr>
              </a:solidFill>
            </a:rPr>
            <a:t>Offer </a:t>
          </a:r>
          <a:r>
            <a:rPr lang="en-GB" sz="900" b="1">
              <a:solidFill>
                <a:schemeClr val="accent2">
                  <a:lumMod val="50000"/>
                </a:schemeClr>
              </a:solidFill>
            </a:rPr>
            <a:t>loyalty punch cards</a:t>
          </a:r>
          <a:r>
            <a:rPr lang="en-GB" sz="900">
              <a:solidFill>
                <a:schemeClr val="accent2">
                  <a:lumMod val="50000"/>
                </a:schemeClr>
              </a:solidFill>
            </a:rPr>
            <a:t> for regular morning customers.</a:t>
          </a:r>
        </a:p>
        <a:p>
          <a:r>
            <a:rPr lang="en-GB" sz="900" b="1">
              <a:solidFill>
                <a:schemeClr val="accent2">
                  <a:lumMod val="50000"/>
                </a:schemeClr>
              </a:solidFill>
            </a:rPr>
            <a:t>4.</a:t>
          </a:r>
          <a:r>
            <a:rPr lang="en-GB" sz="900" b="1" baseline="0">
              <a:solidFill>
                <a:schemeClr val="accent2">
                  <a:lumMod val="50000"/>
                </a:schemeClr>
              </a:solidFill>
            </a:rPr>
            <a:t> </a:t>
          </a:r>
          <a:r>
            <a:rPr lang="en-GB" sz="900" b="1">
              <a:solidFill>
                <a:schemeClr val="accent2">
                  <a:lumMod val="50000"/>
                </a:schemeClr>
              </a:solidFill>
            </a:rPr>
            <a:t>Afternoon Slump Revive (3–4 pm)</a:t>
          </a:r>
          <a:endParaRPr lang="en-GB" sz="900">
            <a:solidFill>
              <a:schemeClr val="accent2">
                <a:lumMod val="50000"/>
              </a:schemeClr>
            </a:solidFill>
          </a:endParaRPr>
        </a:p>
        <a:p>
          <a:r>
            <a:rPr lang="en-GB" sz="900">
              <a:solidFill>
                <a:schemeClr val="accent2">
                  <a:lumMod val="50000"/>
                </a:schemeClr>
              </a:solidFill>
            </a:rPr>
            <a:t>Sales still spike at </a:t>
          </a:r>
          <a:r>
            <a:rPr lang="en-GB" sz="900" b="1">
              <a:solidFill>
                <a:schemeClr val="accent2">
                  <a:lumMod val="50000"/>
                </a:schemeClr>
              </a:solidFill>
            </a:rPr>
            <a:t>15:42 ($50)</a:t>
          </a:r>
          <a:r>
            <a:rPr lang="en-GB" sz="900">
              <a:solidFill>
                <a:schemeClr val="accent2">
                  <a:lumMod val="50000"/>
                </a:schemeClr>
              </a:solidFill>
            </a:rPr>
            <a:t> — an opportunity to:</a:t>
          </a:r>
          <a:r>
            <a:rPr lang="en-GB" sz="900" baseline="0">
              <a:solidFill>
                <a:schemeClr val="accent2">
                  <a:lumMod val="50000"/>
                </a:schemeClr>
              </a:solidFill>
            </a:rPr>
            <a:t> </a:t>
          </a:r>
          <a:r>
            <a:rPr lang="en-GB" sz="900">
              <a:solidFill>
                <a:schemeClr val="accent2">
                  <a:lumMod val="50000"/>
                </a:schemeClr>
              </a:solidFill>
            </a:rPr>
            <a:t>Market </a:t>
          </a:r>
          <a:r>
            <a:rPr lang="en-GB" sz="900" b="1">
              <a:solidFill>
                <a:schemeClr val="accent2">
                  <a:lumMod val="50000"/>
                </a:schemeClr>
              </a:solidFill>
            </a:rPr>
            <a:t>“energy-boost” beverages</a:t>
          </a:r>
          <a:r>
            <a:rPr lang="en-GB" sz="900">
              <a:solidFill>
                <a:schemeClr val="accent2">
                  <a:lumMod val="50000"/>
                </a:schemeClr>
              </a:solidFill>
            </a:rPr>
            <a:t> (strong coffee, green tea, smoothies).</a:t>
          </a:r>
        </a:p>
        <a:p>
          <a:r>
            <a:rPr lang="en-GB" sz="900" b="1">
              <a:solidFill>
                <a:schemeClr val="accent2">
                  <a:lumMod val="50000"/>
                </a:schemeClr>
              </a:solidFill>
            </a:rPr>
            <a:t>5.</a:t>
          </a:r>
          <a:r>
            <a:rPr lang="en-GB" sz="900" b="1" baseline="0">
              <a:solidFill>
                <a:schemeClr val="accent2">
                  <a:lumMod val="50000"/>
                </a:schemeClr>
              </a:solidFill>
            </a:rPr>
            <a:t> </a:t>
          </a:r>
          <a:r>
            <a:rPr lang="en-GB" sz="900" b="1">
              <a:solidFill>
                <a:schemeClr val="accent2">
                  <a:lumMod val="50000"/>
                </a:schemeClr>
              </a:solidFill>
            </a:rPr>
            <a:t>Inventory &amp; Staffing Optimization</a:t>
          </a:r>
          <a:endParaRPr lang="en-GB" sz="900">
            <a:solidFill>
              <a:schemeClr val="accent2">
                <a:lumMod val="50000"/>
              </a:schemeClr>
            </a:solidFill>
          </a:endParaRPr>
        </a:p>
        <a:p>
          <a:r>
            <a:rPr lang="en-GB" sz="900">
              <a:solidFill>
                <a:schemeClr val="accent2">
                  <a:lumMod val="50000"/>
                </a:schemeClr>
              </a:solidFill>
            </a:rPr>
            <a:t>Align staff schedules to </a:t>
          </a:r>
          <a:r>
            <a:rPr lang="en-GB" sz="900" b="1">
              <a:solidFill>
                <a:schemeClr val="accent2">
                  <a:lumMod val="50000"/>
                </a:schemeClr>
              </a:solidFill>
            </a:rPr>
            <a:t>match peak demand periods</a:t>
          </a:r>
          <a:r>
            <a:rPr lang="en-GB" sz="900">
              <a:solidFill>
                <a:schemeClr val="accent2">
                  <a:lumMod val="50000"/>
                </a:schemeClr>
              </a:solidFill>
            </a:rPr>
            <a:t> — heavier staffing during morning rush, lunch breaks, and evening crowd.</a:t>
          </a:r>
        </a:p>
        <a:p>
          <a:r>
            <a:rPr lang="en-GB" sz="900" b="1">
              <a:solidFill>
                <a:schemeClr val="accent2">
                  <a:lumMod val="50000"/>
                </a:schemeClr>
              </a:solidFill>
            </a:rPr>
            <a:t>6.</a:t>
          </a:r>
          <a:r>
            <a:rPr lang="en-GB" sz="900" b="1" baseline="0">
              <a:solidFill>
                <a:schemeClr val="accent2">
                  <a:lumMod val="50000"/>
                </a:schemeClr>
              </a:solidFill>
            </a:rPr>
            <a:t> </a:t>
          </a:r>
          <a:r>
            <a:rPr lang="en-GB" sz="900" b="1">
              <a:solidFill>
                <a:schemeClr val="accent2">
                  <a:lumMod val="50000"/>
                </a:schemeClr>
              </a:solidFill>
            </a:rPr>
            <a:t>Targeted Digital Marketing</a:t>
          </a:r>
          <a:endParaRPr lang="en-GB" sz="900">
            <a:solidFill>
              <a:schemeClr val="accent2">
                <a:lumMod val="50000"/>
              </a:schemeClr>
            </a:solidFill>
          </a:endParaRPr>
        </a:p>
        <a:p>
          <a:r>
            <a:rPr lang="en-GB" sz="900">
              <a:solidFill>
                <a:schemeClr val="accent2">
                  <a:lumMod val="50000"/>
                </a:schemeClr>
              </a:solidFill>
            </a:rPr>
            <a:t>Run </a:t>
          </a:r>
          <a:r>
            <a:rPr lang="en-GB" sz="900" b="1">
              <a:solidFill>
                <a:schemeClr val="accent2">
                  <a:lumMod val="50000"/>
                </a:schemeClr>
              </a:solidFill>
            </a:rPr>
            <a:t>time-based ads</a:t>
          </a:r>
          <a:r>
            <a:rPr lang="en-GB" sz="900">
              <a:solidFill>
                <a:schemeClr val="accent2">
                  <a:lumMod val="50000"/>
                </a:schemeClr>
              </a:solidFill>
            </a:rPr>
            <a:t> (Instagram, WhatsApp status, email campaigns):</a:t>
          </a:r>
          <a:r>
            <a:rPr lang="en-GB" sz="900" baseline="0">
              <a:solidFill>
                <a:schemeClr val="accent2">
                  <a:lumMod val="50000"/>
                </a:schemeClr>
              </a:solidFill>
            </a:rPr>
            <a:t> </a:t>
          </a:r>
          <a:r>
            <a:rPr lang="en-GB" sz="900">
              <a:solidFill>
                <a:schemeClr val="accent2">
                  <a:lumMod val="50000"/>
                </a:schemeClr>
              </a:solidFill>
            </a:rPr>
            <a:t>Morning promos sent </a:t>
          </a:r>
          <a:r>
            <a:rPr lang="en-GB" sz="900" b="1">
              <a:solidFill>
                <a:schemeClr val="accent2">
                  <a:lumMod val="50000"/>
                </a:schemeClr>
              </a:solidFill>
            </a:rPr>
            <a:t>before 9 am</a:t>
          </a:r>
          <a:r>
            <a:rPr lang="en-GB" sz="900">
              <a:solidFill>
                <a:schemeClr val="accent2">
                  <a:lumMod val="50000"/>
                </a:schemeClr>
              </a:solidFill>
            </a:rPr>
            <a:t>.</a:t>
          </a:r>
          <a:r>
            <a:rPr lang="en-GB" sz="900" baseline="0">
              <a:solidFill>
                <a:schemeClr val="accent2">
                  <a:lumMod val="50000"/>
                </a:schemeClr>
              </a:solidFill>
            </a:rPr>
            <a:t> </a:t>
          </a:r>
          <a:r>
            <a:rPr lang="en-GB" sz="900">
              <a:solidFill>
                <a:schemeClr val="accent2">
                  <a:lumMod val="50000"/>
                </a:schemeClr>
              </a:solidFill>
            </a:rPr>
            <a:t>Lunch break deals pushed </a:t>
          </a:r>
          <a:r>
            <a:rPr lang="en-GB" sz="900" b="1">
              <a:solidFill>
                <a:schemeClr val="accent2">
                  <a:lumMod val="50000"/>
                </a:schemeClr>
              </a:solidFill>
            </a:rPr>
            <a:t>around 11:30 am</a:t>
          </a:r>
          <a:r>
            <a:rPr lang="en-GB" sz="900">
              <a:solidFill>
                <a:schemeClr val="accent2">
                  <a:lumMod val="50000"/>
                </a:schemeClr>
              </a:solidFill>
            </a:rPr>
            <a:t>.</a:t>
          </a:r>
          <a:r>
            <a:rPr lang="en-GB" sz="900" baseline="0">
              <a:solidFill>
                <a:schemeClr val="accent2">
                  <a:lumMod val="50000"/>
                </a:schemeClr>
              </a:solidFill>
            </a:rPr>
            <a:t> </a:t>
          </a:r>
          <a:r>
            <a:rPr lang="en-GB" sz="900">
              <a:solidFill>
                <a:schemeClr val="accent2">
                  <a:lumMod val="50000"/>
                </a:schemeClr>
              </a:solidFill>
            </a:rPr>
            <a:t>After-work specials promoted </a:t>
          </a:r>
          <a:r>
            <a:rPr lang="en-GB" sz="900" b="1">
              <a:solidFill>
                <a:schemeClr val="accent2">
                  <a:lumMod val="50000"/>
                </a:schemeClr>
              </a:solidFill>
            </a:rPr>
            <a:t>from 5 pm</a:t>
          </a:r>
          <a:r>
            <a:rPr lang="en-GB" sz="900">
              <a:solidFill>
                <a:schemeClr val="accent2">
                  <a:lumMod val="50000"/>
                </a:schemeClr>
              </a:solidFill>
            </a:rPr>
            <a:t>.</a:t>
          </a:r>
        </a:p>
        <a:p>
          <a:r>
            <a:rPr lang="en-GB" sz="900" b="1">
              <a:solidFill>
                <a:schemeClr val="accent2">
                  <a:lumMod val="50000"/>
                </a:schemeClr>
              </a:solidFill>
            </a:rPr>
            <a:t>7. Revenue Benchmark Strategy</a:t>
          </a:r>
          <a:endParaRPr lang="en-GB" sz="900">
            <a:solidFill>
              <a:schemeClr val="accent2">
                <a:lumMod val="50000"/>
              </a:schemeClr>
            </a:solidFill>
          </a:endParaRPr>
        </a:p>
        <a:p>
          <a:r>
            <a:rPr lang="en-GB" sz="900">
              <a:solidFill>
                <a:schemeClr val="accent2">
                  <a:lumMod val="50000"/>
                </a:schemeClr>
              </a:solidFill>
            </a:rPr>
            <a:t>Since </a:t>
          </a:r>
          <a:r>
            <a:rPr lang="en-GB" sz="900" b="1">
              <a:solidFill>
                <a:schemeClr val="accent2">
                  <a:lumMod val="50000"/>
                </a:schemeClr>
              </a:solidFill>
            </a:rPr>
            <a:t>$50/hour</a:t>
          </a:r>
          <a:r>
            <a:rPr lang="en-GB" sz="900">
              <a:solidFill>
                <a:schemeClr val="accent2">
                  <a:lumMod val="50000"/>
                </a:schemeClr>
              </a:solidFill>
            </a:rPr>
            <a:t> is the benchmark, design promotions that ensure </a:t>
          </a:r>
          <a:r>
            <a:rPr lang="en-GB" sz="900" b="1">
              <a:solidFill>
                <a:schemeClr val="accent2">
                  <a:lumMod val="50000"/>
                </a:schemeClr>
              </a:solidFill>
            </a:rPr>
            <a:t>low-traffic hours hit this threshold</a:t>
          </a:r>
          <a:r>
            <a:rPr lang="en-GB" sz="900">
              <a:solidFill>
                <a:schemeClr val="accent2">
                  <a:lumMod val="50000"/>
                </a:schemeClr>
              </a:solidFill>
            </a:rPr>
            <a:t> — e.g., flash discounts, buy-1-get-1, or student specials during quiet hours.</a:t>
          </a:r>
        </a:p>
        <a:p>
          <a:endParaRPr lang="en-NG" sz="1100" b="0">
            <a:solidFill>
              <a:schemeClr val="accent2">
                <a:lumMod val="50000"/>
              </a:schemeClr>
            </a:solidFill>
          </a:endParaRPr>
        </a:p>
      </xdr:txBody>
    </xdr:sp>
    <xdr:clientData/>
  </xdr:twoCellAnchor>
  <xdr:twoCellAnchor>
    <xdr:from>
      <xdr:col>23</xdr:col>
      <xdr:colOff>266700</xdr:colOff>
      <xdr:row>0</xdr:row>
      <xdr:rowOff>152400</xdr:rowOff>
    </xdr:from>
    <xdr:to>
      <xdr:col>30</xdr:col>
      <xdr:colOff>152400</xdr:colOff>
      <xdr:row>25</xdr:row>
      <xdr:rowOff>50800</xdr:rowOff>
    </xdr:to>
    <xdr:sp macro="" textlink="">
      <xdr:nvSpPr>
        <xdr:cNvPr id="9" name="Rectangle: Rounded Corners 8">
          <a:extLst>
            <a:ext uri="{FF2B5EF4-FFF2-40B4-BE49-F238E27FC236}">
              <a16:creationId xmlns:a16="http://schemas.microsoft.com/office/drawing/2014/main" id="{BB143675-C1B0-41EF-8A32-AD48C8AB90BC}"/>
            </a:ext>
          </a:extLst>
        </xdr:cNvPr>
        <xdr:cNvSpPr/>
      </xdr:nvSpPr>
      <xdr:spPr>
        <a:xfrm>
          <a:off x="14287500" y="152400"/>
          <a:ext cx="4152900" cy="4502150"/>
        </a:xfrm>
        <a:prstGeom prst="roundRect">
          <a:avLst>
            <a:gd name="adj" fmla="val 5667"/>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chemeClr val="bg1"/>
              </a:solidFill>
            </a:rPr>
            <a:t>GENERAL</a:t>
          </a:r>
          <a:r>
            <a:rPr lang="en-GB" sz="1100" baseline="0">
              <a:solidFill>
                <a:schemeClr val="bg1"/>
              </a:solidFill>
            </a:rPr>
            <a:t> RECOMMENDATION</a:t>
          </a:r>
          <a:endParaRPr lang="en-GB" sz="1100">
            <a:solidFill>
              <a:schemeClr val="bg1"/>
            </a:solidFill>
          </a:endParaRPr>
        </a:p>
        <a:p>
          <a:r>
            <a:rPr lang="en-GB" sz="900" b="1"/>
            <a:t>1. Leverage Peak Dates for Promotions</a:t>
          </a:r>
          <a:endParaRPr lang="en-GB" sz="900" b="0"/>
        </a:p>
        <a:p>
          <a:r>
            <a:rPr lang="en-GB" sz="900"/>
            <a:t>Since </a:t>
          </a:r>
          <a:r>
            <a:rPr lang="en-GB" sz="900" b="1"/>
            <a:t>9th and 26th February</a:t>
          </a:r>
          <a:r>
            <a:rPr lang="en-GB" sz="900"/>
            <a:t> saw very high revenue, analyze what factors influenced those days (e.g., weekend, holiday, marketing push).</a:t>
          </a:r>
          <a:r>
            <a:rPr lang="en-GB" sz="900" baseline="0"/>
            <a:t> </a:t>
          </a:r>
          <a:r>
            <a:rPr lang="en-GB" sz="900"/>
            <a:t>Replicate similar promotions (discounts, bundled offers, loyalty perks) around those conditions to </a:t>
          </a:r>
          <a:r>
            <a:rPr lang="en-GB" sz="900" b="1"/>
            <a:t>boost repeat success</a:t>
          </a:r>
          <a:r>
            <a:rPr lang="en-GB" sz="900"/>
            <a:t>.</a:t>
          </a:r>
        </a:p>
        <a:p>
          <a:r>
            <a:rPr lang="en-GB" sz="900" b="1"/>
            <a:t>2. Strengthen March Demand</a:t>
          </a:r>
          <a:endParaRPr lang="en-GB" sz="900" b="0"/>
        </a:p>
        <a:p>
          <a:r>
            <a:rPr lang="en-GB" sz="900"/>
            <a:t>March’s top days underperformed compared to February. This suggests missed opportunities.</a:t>
          </a:r>
        </a:p>
        <a:p>
          <a:r>
            <a:rPr lang="en-GB" sz="900" b="1"/>
            <a:t>3.</a:t>
          </a:r>
          <a:r>
            <a:rPr lang="en-GB" sz="900" b="1" baseline="0"/>
            <a:t> </a:t>
          </a:r>
          <a:r>
            <a:rPr lang="en-GB" sz="900" b="1"/>
            <a:t>Investigate Low Sales Days</a:t>
          </a:r>
          <a:endParaRPr lang="en-GB" sz="900" b="0"/>
        </a:p>
        <a:p>
          <a:r>
            <a:rPr lang="en-GB" sz="900"/>
            <a:t>Extremely low revenue days (e.g., </a:t>
          </a:r>
          <a:r>
            <a:rPr lang="en-GB" sz="900" b="1"/>
            <a:t>12th Feb at $27</a:t>
          </a:r>
          <a:r>
            <a:rPr lang="en-GB" sz="900"/>
            <a:t>) should be investigated: Was it due to low traffic, supply issues, or poor visibility?</a:t>
          </a:r>
          <a:r>
            <a:rPr lang="en-GB" sz="900" baseline="0"/>
            <a:t> </a:t>
          </a:r>
          <a:r>
            <a:rPr lang="en-GB" sz="900"/>
            <a:t>Address gaps through better </a:t>
          </a:r>
          <a:r>
            <a:rPr lang="en-GB" sz="900" b="1"/>
            <a:t>staff scheduling, inventory management, or micro-promotions</a:t>
          </a:r>
          <a:r>
            <a:rPr lang="en-GB" sz="900"/>
            <a:t> on weak days.</a:t>
          </a:r>
        </a:p>
        <a:p>
          <a:r>
            <a:rPr lang="en-GB" sz="900" b="1"/>
            <a:t>4. Introduce Date-Based Campaigns</a:t>
          </a:r>
          <a:endParaRPr lang="en-GB" sz="900" b="0"/>
        </a:p>
        <a:p>
          <a:r>
            <a:rPr lang="en-GB" sz="900"/>
            <a:t>Customers often respond well to </a:t>
          </a:r>
          <a:r>
            <a:rPr lang="en-GB" sz="900" b="1"/>
            <a:t>limited-time offers</a:t>
          </a:r>
          <a:r>
            <a:rPr lang="en-GB" sz="900"/>
            <a:t> tied to specific dates.</a:t>
          </a:r>
          <a:r>
            <a:rPr lang="en-GB" sz="900" baseline="0"/>
            <a:t> </a:t>
          </a:r>
          <a:r>
            <a:rPr lang="en-GB" sz="900"/>
            <a:t>E.g., “2nd Saturday Special,” “End-of-Month Treats,” or “Mid-Month Coffee Boost” to </a:t>
          </a:r>
          <a:r>
            <a:rPr lang="en-GB" sz="900" b="1"/>
            <a:t>stabilize inconsistent sales patterns</a:t>
          </a:r>
          <a:r>
            <a:rPr lang="en-GB" sz="900"/>
            <a:t>.</a:t>
          </a:r>
        </a:p>
        <a:p>
          <a:r>
            <a:rPr lang="en-GB" sz="900" b="1"/>
            <a:t>5. Use Historical Patterns for Forecasting</a:t>
          </a:r>
          <a:endParaRPr lang="en-GB" sz="900" b="0"/>
        </a:p>
        <a:p>
          <a:r>
            <a:rPr lang="en-GB" sz="900"/>
            <a:t>If similar spikes repeat over time (e.g., around weekends or mid-month), these patterns can guide </a:t>
          </a:r>
          <a:r>
            <a:rPr lang="en-GB" sz="900" b="1"/>
            <a:t>staffing, supply, and marketing planning</a:t>
          </a:r>
          <a:r>
            <a:rPr lang="en-GB" sz="900"/>
            <a:t>.</a:t>
          </a:r>
        </a:p>
        <a:p>
          <a:r>
            <a:rPr lang="en-GB" sz="900" b="1"/>
            <a:t>6.</a:t>
          </a:r>
          <a:r>
            <a:rPr lang="en-GB" sz="900" b="1" baseline="0"/>
            <a:t> </a:t>
          </a:r>
          <a:r>
            <a:rPr lang="en-GB" sz="900" b="1"/>
            <a:t>Cross-Promote During Low Traffic</a:t>
          </a:r>
          <a:endParaRPr lang="en-GB" sz="900" b="0"/>
        </a:p>
        <a:p>
          <a:r>
            <a:rPr lang="en-GB" sz="900"/>
            <a:t>On historically weak days, introduce </a:t>
          </a:r>
          <a:r>
            <a:rPr lang="en-GB" sz="900" b="1"/>
            <a:t>upsell combos</a:t>
          </a:r>
          <a:r>
            <a:rPr lang="en-GB" sz="900"/>
            <a:t> (e.g., “Buy 1 Americano, get 50% off pastry”) to encourage higher spend per customer.</a:t>
          </a:r>
        </a:p>
        <a:p>
          <a:endParaRPr lang="en-NG" sz="110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rles" refreshedDate="45893.987576273146" createdVersion="7" refreshedVersion="7" minRefreshableVersion="3" recordCount="262" xr:uid="{00000000-000A-0000-FFFF-FFFF2A000000}">
  <cacheSource type="worksheet">
    <worksheetSource name="Coffee_table"/>
  </cacheSource>
  <cacheFields count="8">
    <cacheField name="Date" numFmtId="14">
      <sharedItems containsSemiMixedTypes="0" containsNonDate="0" containsDate="1" containsString="0" minDate="2025-02-08T00:00:00" maxDate="2025-03-24T00:00:00" count="41">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5T00:00:00"/>
        <d v="2025-03-07T00:00:00"/>
        <d v="2025-03-08T00:00:00"/>
        <d v="2025-03-09T00:00:00"/>
        <d v="2025-03-10T00:00:00"/>
        <d v="2025-03-11T00:00:00"/>
        <d v="2025-03-12T00:00:00"/>
        <d v="2025-03-14T00:00:00"/>
        <d v="2025-03-15T00:00:00"/>
        <d v="2025-03-16T00:00:00"/>
        <d v="2025-03-17T00:00:00"/>
        <d v="2025-03-18T00:00:00"/>
        <d v="2025-03-19T00:00:00"/>
        <d v="2025-03-20T00:00:00"/>
        <d v="2025-03-21T00:00:00"/>
        <d v="2025-03-22T00:00:00"/>
        <d v="2025-03-23T00:00:00"/>
      </sharedItems>
      <fieldGroup par="7" base="0">
        <rangePr groupBy="days" startDate="2025-02-08T00:00:00" endDate="2025-03-24T00:00:00"/>
        <groupItems count="368">
          <s v="&lt;08/02/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4/03/2025"/>
        </groupItems>
      </fieldGroup>
    </cacheField>
    <cacheField name="Time of day" numFmtId="21">
      <sharedItems containsSemiMixedTypes="0" containsNonDate="0" containsDate="1" containsString="0" minDate="1899-12-30T07:38:32" maxDate="1899-12-30T23:04:57" count="253">
        <d v="1899-12-30T14:26:04"/>
        <d v="1899-12-30T14:28:26"/>
        <d v="1899-12-30T14:33:04"/>
        <d v="1899-12-30T15:51:04"/>
        <d v="1899-12-30T16:35:01"/>
        <d v="1899-12-30T18:55:30"/>
        <d v="1899-12-30T18:59:03"/>
        <d v="1899-12-30T19:00:28"/>
        <d v="1899-12-30T08:45:45"/>
        <d v="1899-12-30T10:41:36"/>
        <d v="1899-12-30T10:42:55"/>
        <d v="1899-12-30T12:18:53"/>
        <d v="1899-12-30T13:28:56"/>
        <d v="1899-12-30T15:16:48"/>
        <d v="1899-12-30T15:43:17"/>
        <d v="1899-12-30T16:14:26"/>
        <d v="1899-12-30T16:23:52"/>
        <d v="1899-12-30T16:25:15"/>
        <d v="1899-12-30T17:47:17"/>
        <d v="1899-12-30T18:01:22"/>
        <d v="1899-12-30T18:02:39"/>
        <d v="1899-12-30T19:50:36"/>
        <d v="1899-12-30T09:26:07"/>
        <d v="1899-12-30T12:26:32"/>
        <d v="1899-12-30T18:21:29"/>
        <d v="1899-12-30T09:49:22"/>
        <d v="1899-12-30T18:35:30"/>
        <d v="1899-12-30T17:57:46"/>
        <d v="1899-12-30T07:55:09"/>
        <d v="1899-12-30T08:12:14"/>
        <d v="1899-12-30T08:47:48"/>
        <d v="1899-12-30T10:28:04"/>
        <d v="1899-12-30T12:33:35"/>
        <d v="1899-12-30T14:27:58"/>
        <d v="1899-12-30T14:33:41"/>
        <d v="1899-12-30T16:09:35"/>
        <d v="1899-12-30T19:02:15"/>
        <d v="1899-12-30T19:24:49"/>
        <d v="1899-12-30T19:30:59"/>
        <d v="1899-12-30T19:53:26"/>
        <d v="1899-12-30T19:54:48"/>
        <d v="1899-12-30T09:38:59"/>
        <d v="1899-12-30T11:10:57"/>
        <d v="1899-12-30T13:43:38"/>
        <d v="1899-12-30T13:45:12"/>
        <d v="1899-12-30T15:33:24"/>
        <d v="1899-12-30T15:35:50"/>
        <d v="1899-12-30T15:48:07"/>
        <d v="1899-12-30T16:36:54"/>
        <d v="1899-12-30T16:38:30"/>
        <d v="1899-12-30T16:41:18"/>
        <d v="1899-12-30T19:30:33"/>
        <d v="1899-12-30T23:01:01"/>
        <d v="1899-12-30T23:03:42"/>
        <d v="1899-12-30T23:04:57"/>
        <d v="1899-12-30T07:58:44"/>
        <d v="1899-12-30T08:17:59"/>
        <d v="1899-12-30T16:26:51"/>
        <d v="1899-12-30T16:57:46"/>
        <d v="1899-12-30T17:00:13"/>
        <d v="1899-12-30T17:52:39"/>
        <d v="1899-12-30T18:26:38"/>
        <d v="1899-12-30T22:10:07"/>
        <d v="1899-12-30T09:52:42"/>
        <d v="1899-12-30T10:14:06"/>
        <d v="1899-12-30T15:36:44"/>
        <d v="1899-12-30T15:42:11"/>
        <d v="1899-12-30T07:56:31"/>
        <d v="1899-12-30T10:38:04"/>
        <d v="1899-12-30T12:05:08"/>
        <d v="1899-12-30T12:20:37"/>
        <d v="1899-12-30T07:38:32"/>
        <d v="1899-12-30T08:04:41"/>
        <d v="1899-12-30T08:57:54"/>
        <d v="1899-12-30T09:36:06"/>
        <d v="1899-12-30T12:07:16"/>
        <d v="1899-12-30T12:09:01"/>
        <d v="1899-12-30T13:20:58"/>
        <d v="1899-12-30T17:06:57"/>
        <d v="1899-12-30T17:09:30"/>
        <d v="1899-12-30T17:42:39"/>
        <d v="1899-12-30T08:39:10"/>
        <d v="1899-12-30T09:20:59"/>
        <d v="1899-12-30T09:49:18"/>
        <d v="1899-12-30T10:14:07"/>
        <d v="1899-12-30T15:56:21"/>
        <d v="1899-12-30T16:13:01"/>
        <d v="1899-12-30T16:44:24"/>
        <d v="1899-12-30T17:12:49"/>
        <d v="1899-12-30T18:43:58"/>
        <d v="1899-12-30T18:45:20"/>
        <d v="1899-12-30T18:55:19"/>
        <d v="1899-12-30T12:08:32"/>
        <d v="1899-12-30T18:38:38"/>
        <d v="1899-12-30T19:05:11"/>
        <d v="1899-12-30T11:04:22"/>
        <d v="1899-12-30T15:09:53"/>
        <d v="1899-12-30T15:19:14"/>
        <d v="1899-12-30T15:57:49"/>
        <d v="1899-12-30T13:23:23"/>
        <d v="1899-12-30T18:32:28"/>
        <d v="1899-12-30T18:33:49"/>
        <d v="1899-12-30T20:15:01"/>
        <d v="1899-12-30T21:41:58"/>
        <d v="1899-12-30T21:43:45"/>
        <d v="1899-12-30T09:41:12"/>
        <d v="1899-12-30T10:29:33"/>
        <d v="1899-12-30T11:31:35"/>
        <d v="1899-12-30T11:36:20"/>
        <d v="1899-12-30T11:44:39"/>
        <d v="1899-12-30T11:49:57"/>
        <d v="1899-12-30T11:56:36"/>
        <d v="1899-12-30T12:00:27"/>
        <d v="1899-12-30T12:17:03"/>
        <d v="1899-12-30T12:22:20"/>
        <d v="1899-12-30T13:11:29"/>
        <d v="1899-12-30T14:53:33"/>
        <d v="1899-12-30T16:45:34"/>
        <d v="1899-12-30T17:08:45"/>
        <d v="1899-12-30T17:13:28"/>
        <d v="1899-12-30T20:49:00"/>
        <d v="1899-12-30T11:37:57"/>
        <d v="1899-12-30T17:04:29"/>
        <d v="1899-12-30T07:58:50"/>
        <d v="1899-12-30T12:02:54"/>
        <d v="1899-12-30T14:40:03"/>
        <d v="1899-12-30T14:42:05"/>
        <d v="1899-12-30T15:39:43"/>
        <d v="1899-12-30T19:54:43"/>
        <d v="1899-12-30T22:14:42"/>
        <d v="1899-12-30T22:32:32"/>
        <d v="1899-12-30T11:37:35"/>
        <d v="1899-12-30T11:43:55"/>
        <d v="1899-12-30T12:48:46"/>
        <d v="1899-12-30T14:48:41"/>
        <d v="1899-12-30T16:35:56"/>
        <d v="1899-12-30T11:18:50"/>
        <d v="1899-12-30T11:20:34"/>
        <d v="1899-12-30T12:16:41"/>
        <d v="1899-12-30T12:48:05"/>
        <d v="1899-12-30T14:54:16"/>
        <d v="1899-12-30T16:09:56"/>
        <d v="1899-12-30T20:12:18"/>
        <d v="1899-12-30T20:13:42"/>
        <d v="1899-12-30T20:16:54"/>
        <d v="1899-12-30T20:30:04"/>
        <d v="1899-12-30T10:40:15"/>
        <d v="1899-12-30T11:08:15"/>
        <d v="1899-12-30T11:14:04"/>
        <d v="1899-12-30T11:24:26"/>
        <d v="1899-12-30T16:23:33"/>
        <d v="1899-12-30T21:58:37"/>
        <d v="1899-12-30T11:29:31"/>
        <d v="1899-12-30T11:39:26"/>
        <d v="1899-12-30T12:34:30"/>
        <d v="1899-12-30T13:12:49"/>
        <d v="1899-12-30T13:17:06"/>
        <d v="1899-12-30T18:38:51"/>
        <d v="1899-12-30T18:40:11"/>
        <d v="1899-12-30T18:44:49"/>
        <d v="1899-12-30T12:36:33"/>
        <d v="1899-12-30T12:37:48"/>
        <d v="1899-12-30T14:19:54"/>
        <d v="1899-12-30T14:21:18"/>
        <d v="1899-12-30T21:35:05"/>
        <d v="1899-12-30T11:32:24"/>
        <d v="1899-12-30T16:35:18"/>
        <d v="1899-12-30T21:32:09"/>
        <d v="1899-12-30T21:48:58"/>
        <d v="1899-12-30T07:47:14"/>
        <d v="1899-12-30T11:47:13"/>
        <d v="1899-12-30T15:05:27"/>
        <d v="1899-12-30T15:07:45"/>
        <d v="1899-12-30T17:32:54"/>
        <d v="1899-12-30T18:05:00"/>
        <d v="1899-12-30T18:43:39"/>
        <d v="1899-12-30T19:19:21"/>
        <d v="1899-12-30T12:11:09"/>
        <d v="1899-12-30T14:01:03"/>
        <d v="1899-12-30T15:25:38"/>
        <d v="1899-12-30T22:12:01"/>
        <d v="1899-12-30T07:52:45"/>
        <d v="1899-12-30T10:04:22"/>
        <d v="1899-12-30T12:41:27"/>
        <d v="1899-12-30T18:03:20"/>
        <d v="1899-12-30T18:04:42"/>
        <d v="1899-12-30T07:53:08"/>
        <d v="1899-12-30T08:41:17"/>
        <d v="1899-12-30T16:56:27"/>
        <d v="1899-12-30T16:58:14"/>
        <d v="1899-12-30T18:50:47"/>
        <d v="1899-12-30T18:52:44"/>
        <d v="1899-12-30T21:37:51"/>
        <d v="1899-12-30T21:39:14"/>
        <d v="1899-12-30T12:31:32"/>
        <d v="1899-12-30T13:46:07"/>
        <d v="1899-12-30T15:59:44"/>
        <d v="1899-12-30T21:27:31"/>
        <d v="1899-12-30T13:12:26"/>
        <d v="1899-12-30T13:15:33"/>
        <d v="1899-12-30T13:37:40"/>
        <d v="1899-12-30T13:39:02"/>
        <d v="1899-12-30T14:56:24"/>
        <d v="1899-12-30T14:57:48"/>
        <d v="1899-12-30T15:48:00"/>
        <d v="1899-12-30T19:08:45"/>
        <d v="1899-12-30T19:10:04"/>
        <d v="1899-12-30T21:02:14"/>
        <d v="1899-12-30T21:58:17"/>
        <d v="1899-12-30T13:50:06"/>
        <d v="1899-12-30T14:45:25"/>
        <d v="1899-12-30T15:04:02"/>
        <d v="1899-12-30T16:01:45"/>
        <d v="1899-12-30T08:01:14"/>
        <d v="1899-12-30T11:03:49"/>
        <d v="1899-12-30T16:44:56"/>
        <d v="1899-12-30T17:33:56"/>
        <d v="1899-12-30T18:33:37"/>
        <d v="1899-12-30T08:25:07"/>
        <d v="1899-12-30T15:02:02"/>
        <d v="1899-12-30T17:44:32"/>
        <d v="1899-12-30T17:47:22"/>
        <d v="1899-12-30T19:35:21"/>
        <d v="1899-12-30T19:36:32"/>
        <d v="1899-12-30T16:56:15"/>
        <d v="1899-12-30T17:38:00"/>
        <d v="1899-12-30T17:42:13"/>
        <d v="1899-12-30T17:44:09"/>
        <d v="1899-12-30T19:42:58"/>
        <d v="1899-12-30T08:10:49"/>
        <d v="1899-12-30T11:54:23"/>
        <d v="1899-12-30T17:22:35"/>
        <d v="1899-12-30T09:04:53"/>
        <d v="1899-12-30T19:37:46"/>
        <d v="1899-12-30T19:39:07"/>
        <d v="1899-12-30T21:47:03"/>
        <d v="1899-12-30T10:54:05"/>
        <d v="1899-12-30T10:55:29"/>
        <d v="1899-12-30T11:00:25"/>
        <d v="1899-12-30T16:59:05"/>
        <d v="1899-12-30T17:07:45"/>
        <d v="1899-12-30T17:44:51"/>
        <d v="1899-12-30T17:58:01"/>
        <d v="1899-12-30T22:19:59"/>
        <d v="1899-12-30T22:21:21"/>
        <d v="1899-12-30T22:23:39"/>
        <d v="1899-12-30T10:16:44"/>
        <d v="1899-12-30T10:25:48"/>
        <d v="1899-12-30T14:55:46"/>
        <d v="1899-12-30T15:15:36"/>
        <d v="1899-12-30T17:59:25"/>
        <d v="1899-12-30T18:01:33"/>
        <d v="1899-12-30T21:23:11"/>
      </sharedItems>
    </cacheField>
    <cacheField name="Cash_type" numFmtId="0">
      <sharedItems count="2">
        <s v="cash"/>
        <s v="card"/>
      </sharedItems>
    </cacheField>
    <cacheField name="Money" numFmtId="0">
      <sharedItems containsSemiMixedTypes="0" containsString="0" containsNumber="1" containsInteger="1" minValue="15" maxValue="33"/>
    </cacheField>
    <cacheField name="Coffee_name" numFmtId="0">
      <sharedItems count="30">
        <s v="Tea"/>
        <s v="Espresso"/>
        <s v="Chocolate with coffee"/>
        <s v="Chocolate with milk"/>
        <s v="Coffee with Irish whiskey"/>
        <s v="Irish whiskey with milk"/>
        <s v="Double Irish whiskey"/>
        <s v="Double espresso"/>
        <s v="Americano with milk"/>
        <s v="Cappuccino"/>
        <s v="Double espresso with milk"/>
        <s v="Caramel with Irish whiskey"/>
        <s v="Latte"/>
        <s v="Americano"/>
        <s v="Super chocolate"/>
        <s v="Double vanilla"/>
        <s v="Mochaccino"/>
        <s v="Caramel with chocolate"/>
        <s v="Irish whiskey"/>
        <s v="Caramel coffee"/>
        <s v="Vanilla with Irish whiskey"/>
        <s v="Chocolate"/>
        <s v="Caramel with milk"/>
        <s v="Coffee with chocolate"/>
        <s v="Irish with chocolate"/>
        <s v="Vanilla coffee"/>
        <s v="Double ristretto"/>
        <s v="Hot milkshake"/>
        <s v="Double chocolate"/>
        <s v="Caramel"/>
      </sharedItems>
    </cacheField>
    <cacheField name="Day of week" numFmtId="0">
      <sharedItems count="7">
        <s v="Sat"/>
        <s v="Sun"/>
        <s v="Mon"/>
        <s v="Tue"/>
        <s v="Wed"/>
        <s v="Thu"/>
        <s v="Fri"/>
      </sharedItems>
    </cacheField>
    <cacheField name="Month" numFmtId="0">
      <sharedItems count="2">
        <s v="Feb"/>
        <s v="Mar"/>
      </sharedItems>
    </cacheField>
    <cacheField name="Months" numFmtId="0" databaseField="0">
      <fieldGroup base="0">
        <rangePr groupBy="months" startDate="2025-02-08T00:00:00" endDate="2025-03-24T00:00:00"/>
        <groupItems count="14">
          <s v="&lt;08/02/2025"/>
          <s v="Jan"/>
          <s v="Feb"/>
          <s v="Mar"/>
          <s v="Apr"/>
          <s v="May"/>
          <s v="Jun"/>
          <s v="Jul"/>
          <s v="Aug"/>
          <s v="Sept"/>
          <s v="Oct"/>
          <s v="Nov"/>
          <s v="Dec"/>
          <s v="&gt;24/03/2025"/>
        </groupItems>
      </fieldGroup>
    </cacheField>
  </cacheFields>
  <extLst>
    <ext xmlns:x14="http://schemas.microsoft.com/office/spreadsheetml/2009/9/main" uri="{725AE2AE-9491-48be-B2B4-4EB974FC3084}">
      <x14:pivotCacheDefinition pivotCacheId="18570193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2">
  <r>
    <x v="0"/>
    <x v="0"/>
    <x v="0"/>
    <n v="15"/>
    <x v="0"/>
    <x v="0"/>
    <x v="0"/>
  </r>
  <r>
    <x v="0"/>
    <x v="1"/>
    <x v="0"/>
    <n v="15"/>
    <x v="0"/>
    <x v="0"/>
    <x v="0"/>
  </r>
  <r>
    <x v="0"/>
    <x v="2"/>
    <x v="1"/>
    <n v="20"/>
    <x v="1"/>
    <x v="0"/>
    <x v="0"/>
  </r>
  <r>
    <x v="0"/>
    <x v="3"/>
    <x v="1"/>
    <n v="30"/>
    <x v="2"/>
    <x v="0"/>
    <x v="0"/>
  </r>
  <r>
    <x v="0"/>
    <x v="4"/>
    <x v="0"/>
    <n v="27"/>
    <x v="3"/>
    <x v="0"/>
    <x v="0"/>
  </r>
  <r>
    <x v="0"/>
    <x v="5"/>
    <x v="1"/>
    <n v="33"/>
    <x v="1"/>
    <x v="0"/>
    <x v="0"/>
  </r>
  <r>
    <x v="0"/>
    <x v="6"/>
    <x v="0"/>
    <n v="29"/>
    <x v="4"/>
    <x v="0"/>
    <x v="0"/>
  </r>
  <r>
    <x v="0"/>
    <x v="7"/>
    <x v="0"/>
    <n v="27"/>
    <x v="5"/>
    <x v="0"/>
    <x v="0"/>
  </r>
  <r>
    <x v="1"/>
    <x v="8"/>
    <x v="1"/>
    <n v="28"/>
    <x v="6"/>
    <x v="1"/>
    <x v="0"/>
  </r>
  <r>
    <x v="1"/>
    <x v="9"/>
    <x v="0"/>
    <n v="30"/>
    <x v="2"/>
    <x v="1"/>
    <x v="0"/>
  </r>
  <r>
    <x v="1"/>
    <x v="10"/>
    <x v="0"/>
    <n v="27"/>
    <x v="7"/>
    <x v="1"/>
    <x v="0"/>
  </r>
  <r>
    <x v="1"/>
    <x v="11"/>
    <x v="0"/>
    <n v="25"/>
    <x v="8"/>
    <x v="1"/>
    <x v="0"/>
  </r>
  <r>
    <x v="1"/>
    <x v="12"/>
    <x v="1"/>
    <n v="20"/>
    <x v="1"/>
    <x v="1"/>
    <x v="0"/>
  </r>
  <r>
    <x v="1"/>
    <x v="13"/>
    <x v="1"/>
    <n v="30"/>
    <x v="9"/>
    <x v="1"/>
    <x v="0"/>
  </r>
  <r>
    <x v="1"/>
    <x v="14"/>
    <x v="1"/>
    <n v="32"/>
    <x v="10"/>
    <x v="1"/>
    <x v="0"/>
  </r>
  <r>
    <x v="1"/>
    <x v="15"/>
    <x v="1"/>
    <n v="28"/>
    <x v="6"/>
    <x v="1"/>
    <x v="0"/>
  </r>
  <r>
    <x v="1"/>
    <x v="16"/>
    <x v="1"/>
    <n v="28"/>
    <x v="11"/>
    <x v="1"/>
    <x v="0"/>
  </r>
  <r>
    <x v="1"/>
    <x v="17"/>
    <x v="1"/>
    <n v="33"/>
    <x v="12"/>
    <x v="1"/>
    <x v="0"/>
  </r>
  <r>
    <x v="1"/>
    <x v="18"/>
    <x v="1"/>
    <n v="33"/>
    <x v="12"/>
    <x v="1"/>
    <x v="0"/>
  </r>
  <r>
    <x v="1"/>
    <x v="19"/>
    <x v="1"/>
    <n v="25"/>
    <x v="8"/>
    <x v="1"/>
    <x v="0"/>
  </r>
  <r>
    <x v="1"/>
    <x v="19"/>
    <x v="1"/>
    <n v="33"/>
    <x v="12"/>
    <x v="1"/>
    <x v="0"/>
  </r>
  <r>
    <x v="1"/>
    <x v="19"/>
    <x v="1"/>
    <n v="15"/>
    <x v="0"/>
    <x v="1"/>
    <x v="0"/>
  </r>
  <r>
    <x v="1"/>
    <x v="20"/>
    <x v="1"/>
    <n v="28"/>
    <x v="11"/>
    <x v="1"/>
    <x v="0"/>
  </r>
  <r>
    <x v="1"/>
    <x v="21"/>
    <x v="0"/>
    <n v="29"/>
    <x v="4"/>
    <x v="1"/>
    <x v="0"/>
  </r>
  <r>
    <x v="2"/>
    <x v="22"/>
    <x v="0"/>
    <n v="25"/>
    <x v="13"/>
    <x v="2"/>
    <x v="0"/>
  </r>
  <r>
    <x v="2"/>
    <x v="23"/>
    <x v="0"/>
    <n v="25"/>
    <x v="13"/>
    <x v="2"/>
    <x v="0"/>
  </r>
  <r>
    <x v="2"/>
    <x v="24"/>
    <x v="0"/>
    <n v="27"/>
    <x v="3"/>
    <x v="2"/>
    <x v="0"/>
  </r>
  <r>
    <x v="3"/>
    <x v="25"/>
    <x v="1"/>
    <n v="15"/>
    <x v="0"/>
    <x v="3"/>
    <x v="0"/>
  </r>
  <r>
    <x v="3"/>
    <x v="26"/>
    <x v="1"/>
    <n v="25"/>
    <x v="13"/>
    <x v="3"/>
    <x v="0"/>
  </r>
  <r>
    <x v="4"/>
    <x v="27"/>
    <x v="0"/>
    <n v="27"/>
    <x v="3"/>
    <x v="4"/>
    <x v="0"/>
  </r>
  <r>
    <x v="5"/>
    <x v="28"/>
    <x v="1"/>
    <n v="33"/>
    <x v="12"/>
    <x v="5"/>
    <x v="0"/>
  </r>
  <r>
    <x v="5"/>
    <x v="29"/>
    <x v="1"/>
    <n v="32"/>
    <x v="10"/>
    <x v="5"/>
    <x v="0"/>
  </r>
  <r>
    <x v="5"/>
    <x v="30"/>
    <x v="1"/>
    <n v="30"/>
    <x v="9"/>
    <x v="5"/>
    <x v="0"/>
  </r>
  <r>
    <x v="5"/>
    <x v="31"/>
    <x v="1"/>
    <n v="25"/>
    <x v="8"/>
    <x v="5"/>
    <x v="0"/>
  </r>
  <r>
    <x v="6"/>
    <x v="32"/>
    <x v="1"/>
    <n v="20"/>
    <x v="1"/>
    <x v="6"/>
    <x v="0"/>
  </r>
  <r>
    <x v="6"/>
    <x v="33"/>
    <x v="0"/>
    <n v="20"/>
    <x v="1"/>
    <x v="6"/>
    <x v="0"/>
  </r>
  <r>
    <x v="6"/>
    <x v="34"/>
    <x v="1"/>
    <n v="28"/>
    <x v="6"/>
    <x v="6"/>
    <x v="0"/>
  </r>
  <r>
    <x v="6"/>
    <x v="35"/>
    <x v="0"/>
    <n v="20"/>
    <x v="1"/>
    <x v="6"/>
    <x v="0"/>
  </r>
  <r>
    <x v="6"/>
    <x v="36"/>
    <x v="1"/>
    <n v="20"/>
    <x v="1"/>
    <x v="6"/>
    <x v="0"/>
  </r>
  <r>
    <x v="6"/>
    <x v="37"/>
    <x v="0"/>
    <n v="27"/>
    <x v="3"/>
    <x v="6"/>
    <x v="0"/>
  </r>
  <r>
    <x v="6"/>
    <x v="38"/>
    <x v="1"/>
    <n v="29"/>
    <x v="4"/>
    <x v="6"/>
    <x v="0"/>
  </r>
  <r>
    <x v="6"/>
    <x v="39"/>
    <x v="1"/>
    <n v="28"/>
    <x v="14"/>
    <x v="6"/>
    <x v="0"/>
  </r>
  <r>
    <x v="6"/>
    <x v="40"/>
    <x v="1"/>
    <n v="28"/>
    <x v="6"/>
    <x v="6"/>
    <x v="0"/>
  </r>
  <r>
    <x v="7"/>
    <x v="41"/>
    <x v="1"/>
    <n v="25"/>
    <x v="13"/>
    <x v="0"/>
    <x v="0"/>
  </r>
  <r>
    <x v="7"/>
    <x v="42"/>
    <x v="1"/>
    <n v="27"/>
    <x v="15"/>
    <x v="0"/>
    <x v="0"/>
  </r>
  <r>
    <x v="7"/>
    <x v="43"/>
    <x v="0"/>
    <n v="30"/>
    <x v="16"/>
    <x v="0"/>
    <x v="0"/>
  </r>
  <r>
    <x v="7"/>
    <x v="44"/>
    <x v="0"/>
    <n v="27"/>
    <x v="5"/>
    <x v="0"/>
    <x v="0"/>
  </r>
  <r>
    <x v="7"/>
    <x v="45"/>
    <x v="1"/>
    <n v="15"/>
    <x v="0"/>
    <x v="0"/>
    <x v="0"/>
  </r>
  <r>
    <x v="7"/>
    <x v="46"/>
    <x v="1"/>
    <n v="25"/>
    <x v="8"/>
    <x v="0"/>
    <x v="0"/>
  </r>
  <r>
    <x v="7"/>
    <x v="47"/>
    <x v="1"/>
    <n v="25"/>
    <x v="8"/>
    <x v="0"/>
    <x v="0"/>
  </r>
  <r>
    <x v="8"/>
    <x v="48"/>
    <x v="1"/>
    <n v="33"/>
    <x v="12"/>
    <x v="1"/>
    <x v="0"/>
  </r>
  <r>
    <x v="8"/>
    <x v="49"/>
    <x v="1"/>
    <n v="28"/>
    <x v="17"/>
    <x v="1"/>
    <x v="0"/>
  </r>
  <r>
    <x v="8"/>
    <x v="50"/>
    <x v="0"/>
    <n v="25"/>
    <x v="18"/>
    <x v="1"/>
    <x v="0"/>
  </r>
  <r>
    <x v="8"/>
    <x v="50"/>
    <x v="0"/>
    <n v="20"/>
    <x v="15"/>
    <x v="1"/>
    <x v="0"/>
  </r>
  <r>
    <x v="8"/>
    <x v="51"/>
    <x v="1"/>
    <n v="33"/>
    <x v="12"/>
    <x v="1"/>
    <x v="0"/>
  </r>
  <r>
    <x v="8"/>
    <x v="52"/>
    <x v="1"/>
    <n v="29"/>
    <x v="4"/>
    <x v="1"/>
    <x v="0"/>
  </r>
  <r>
    <x v="8"/>
    <x v="53"/>
    <x v="1"/>
    <n v="30"/>
    <x v="9"/>
    <x v="1"/>
    <x v="0"/>
  </r>
  <r>
    <x v="8"/>
    <x v="54"/>
    <x v="1"/>
    <n v="28"/>
    <x v="19"/>
    <x v="1"/>
    <x v="0"/>
  </r>
  <r>
    <x v="9"/>
    <x v="55"/>
    <x v="1"/>
    <n v="20"/>
    <x v="1"/>
    <x v="2"/>
    <x v="0"/>
  </r>
  <r>
    <x v="9"/>
    <x v="56"/>
    <x v="0"/>
    <n v="30"/>
    <x v="9"/>
    <x v="2"/>
    <x v="0"/>
  </r>
  <r>
    <x v="9"/>
    <x v="57"/>
    <x v="1"/>
    <n v="28"/>
    <x v="11"/>
    <x v="2"/>
    <x v="0"/>
  </r>
  <r>
    <x v="9"/>
    <x v="58"/>
    <x v="0"/>
    <n v="25"/>
    <x v="8"/>
    <x v="2"/>
    <x v="0"/>
  </r>
  <r>
    <x v="9"/>
    <x v="59"/>
    <x v="0"/>
    <n v="20"/>
    <x v="1"/>
    <x v="2"/>
    <x v="0"/>
  </r>
  <r>
    <x v="9"/>
    <x v="60"/>
    <x v="1"/>
    <n v="30"/>
    <x v="9"/>
    <x v="2"/>
    <x v="0"/>
  </r>
  <r>
    <x v="9"/>
    <x v="61"/>
    <x v="0"/>
    <n v="29"/>
    <x v="4"/>
    <x v="2"/>
    <x v="0"/>
  </r>
  <r>
    <x v="9"/>
    <x v="62"/>
    <x v="0"/>
    <n v="25"/>
    <x v="8"/>
    <x v="2"/>
    <x v="0"/>
  </r>
  <r>
    <x v="10"/>
    <x v="63"/>
    <x v="0"/>
    <n v="28"/>
    <x v="20"/>
    <x v="3"/>
    <x v="0"/>
  </r>
  <r>
    <x v="10"/>
    <x v="64"/>
    <x v="1"/>
    <n v="25"/>
    <x v="8"/>
    <x v="3"/>
    <x v="0"/>
  </r>
  <r>
    <x v="10"/>
    <x v="65"/>
    <x v="1"/>
    <n v="30"/>
    <x v="9"/>
    <x v="3"/>
    <x v="0"/>
  </r>
  <r>
    <x v="10"/>
    <x v="66"/>
    <x v="1"/>
    <n v="25"/>
    <x v="8"/>
    <x v="3"/>
    <x v="0"/>
  </r>
  <r>
    <x v="11"/>
    <x v="67"/>
    <x v="0"/>
    <n v="25"/>
    <x v="13"/>
    <x v="4"/>
    <x v="0"/>
  </r>
  <r>
    <x v="11"/>
    <x v="68"/>
    <x v="1"/>
    <n v="25"/>
    <x v="13"/>
    <x v="4"/>
    <x v="0"/>
  </r>
  <r>
    <x v="11"/>
    <x v="69"/>
    <x v="0"/>
    <n v="25"/>
    <x v="8"/>
    <x v="4"/>
    <x v="0"/>
  </r>
  <r>
    <x v="11"/>
    <x v="70"/>
    <x v="1"/>
    <n v="20"/>
    <x v="1"/>
    <x v="4"/>
    <x v="0"/>
  </r>
  <r>
    <x v="12"/>
    <x v="71"/>
    <x v="1"/>
    <n v="30"/>
    <x v="9"/>
    <x v="5"/>
    <x v="0"/>
  </r>
  <r>
    <x v="12"/>
    <x v="72"/>
    <x v="0"/>
    <n v="30"/>
    <x v="16"/>
    <x v="5"/>
    <x v="0"/>
  </r>
  <r>
    <x v="12"/>
    <x v="73"/>
    <x v="1"/>
    <n v="29"/>
    <x v="4"/>
    <x v="5"/>
    <x v="0"/>
  </r>
  <r>
    <x v="12"/>
    <x v="74"/>
    <x v="0"/>
    <n v="25"/>
    <x v="8"/>
    <x v="5"/>
    <x v="0"/>
  </r>
  <r>
    <x v="12"/>
    <x v="74"/>
    <x v="0"/>
    <n v="20"/>
    <x v="1"/>
    <x v="5"/>
    <x v="0"/>
  </r>
  <r>
    <x v="12"/>
    <x v="75"/>
    <x v="1"/>
    <n v="33"/>
    <x v="12"/>
    <x v="5"/>
    <x v="0"/>
  </r>
  <r>
    <x v="12"/>
    <x v="76"/>
    <x v="1"/>
    <n v="30"/>
    <x v="9"/>
    <x v="5"/>
    <x v="0"/>
  </r>
  <r>
    <x v="12"/>
    <x v="77"/>
    <x v="1"/>
    <n v="25"/>
    <x v="21"/>
    <x v="5"/>
    <x v="0"/>
  </r>
  <r>
    <x v="12"/>
    <x v="78"/>
    <x v="1"/>
    <n v="25"/>
    <x v="8"/>
    <x v="5"/>
    <x v="0"/>
  </r>
  <r>
    <x v="12"/>
    <x v="79"/>
    <x v="0"/>
    <n v="25"/>
    <x v="8"/>
    <x v="5"/>
    <x v="0"/>
  </r>
  <r>
    <x v="12"/>
    <x v="80"/>
    <x v="1"/>
    <n v="28"/>
    <x v="6"/>
    <x v="5"/>
    <x v="0"/>
  </r>
  <r>
    <x v="13"/>
    <x v="81"/>
    <x v="0"/>
    <n v="25"/>
    <x v="18"/>
    <x v="6"/>
    <x v="0"/>
  </r>
  <r>
    <x v="13"/>
    <x v="82"/>
    <x v="1"/>
    <n v="30"/>
    <x v="16"/>
    <x v="6"/>
    <x v="0"/>
  </r>
  <r>
    <x v="13"/>
    <x v="83"/>
    <x v="1"/>
    <n v="25"/>
    <x v="18"/>
    <x v="6"/>
    <x v="0"/>
  </r>
  <r>
    <x v="13"/>
    <x v="84"/>
    <x v="0"/>
    <n v="25"/>
    <x v="8"/>
    <x v="6"/>
    <x v="0"/>
  </r>
  <r>
    <x v="13"/>
    <x v="85"/>
    <x v="1"/>
    <n v="25"/>
    <x v="8"/>
    <x v="6"/>
    <x v="0"/>
  </r>
  <r>
    <x v="13"/>
    <x v="86"/>
    <x v="1"/>
    <n v="28"/>
    <x v="6"/>
    <x v="6"/>
    <x v="0"/>
  </r>
  <r>
    <x v="13"/>
    <x v="87"/>
    <x v="0"/>
    <n v="20"/>
    <x v="1"/>
    <x v="6"/>
    <x v="0"/>
  </r>
  <r>
    <x v="13"/>
    <x v="88"/>
    <x v="1"/>
    <n v="33"/>
    <x v="12"/>
    <x v="6"/>
    <x v="0"/>
  </r>
  <r>
    <x v="13"/>
    <x v="89"/>
    <x v="0"/>
    <n v="25"/>
    <x v="8"/>
    <x v="6"/>
    <x v="0"/>
  </r>
  <r>
    <x v="13"/>
    <x v="90"/>
    <x v="1"/>
    <n v="33"/>
    <x v="12"/>
    <x v="6"/>
    <x v="0"/>
  </r>
  <r>
    <x v="13"/>
    <x v="91"/>
    <x v="0"/>
    <n v="15"/>
    <x v="0"/>
    <x v="6"/>
    <x v="0"/>
  </r>
  <r>
    <x v="14"/>
    <x v="92"/>
    <x v="1"/>
    <n v="28"/>
    <x v="17"/>
    <x v="0"/>
    <x v="0"/>
  </r>
  <r>
    <x v="14"/>
    <x v="93"/>
    <x v="1"/>
    <n v="33"/>
    <x v="12"/>
    <x v="0"/>
    <x v="0"/>
  </r>
  <r>
    <x v="14"/>
    <x v="93"/>
    <x v="1"/>
    <n v="25"/>
    <x v="8"/>
    <x v="0"/>
    <x v="0"/>
  </r>
  <r>
    <x v="14"/>
    <x v="94"/>
    <x v="1"/>
    <n v="29"/>
    <x v="4"/>
    <x v="0"/>
    <x v="0"/>
  </r>
  <r>
    <x v="15"/>
    <x v="95"/>
    <x v="1"/>
    <n v="28"/>
    <x v="6"/>
    <x v="1"/>
    <x v="0"/>
  </r>
  <r>
    <x v="15"/>
    <x v="96"/>
    <x v="1"/>
    <n v="25"/>
    <x v="13"/>
    <x v="1"/>
    <x v="0"/>
  </r>
  <r>
    <x v="15"/>
    <x v="97"/>
    <x v="1"/>
    <n v="25"/>
    <x v="8"/>
    <x v="1"/>
    <x v="0"/>
  </r>
  <r>
    <x v="15"/>
    <x v="98"/>
    <x v="0"/>
    <n v="28"/>
    <x v="6"/>
    <x v="1"/>
    <x v="0"/>
  </r>
  <r>
    <x v="16"/>
    <x v="99"/>
    <x v="1"/>
    <n v="15"/>
    <x v="0"/>
    <x v="2"/>
    <x v="0"/>
  </r>
  <r>
    <x v="16"/>
    <x v="100"/>
    <x v="1"/>
    <n v="28"/>
    <x v="11"/>
    <x v="2"/>
    <x v="0"/>
  </r>
  <r>
    <x v="16"/>
    <x v="101"/>
    <x v="1"/>
    <n v="28"/>
    <x v="11"/>
    <x v="2"/>
    <x v="0"/>
  </r>
  <r>
    <x v="16"/>
    <x v="102"/>
    <x v="1"/>
    <n v="25"/>
    <x v="22"/>
    <x v="2"/>
    <x v="0"/>
  </r>
  <r>
    <x v="17"/>
    <x v="103"/>
    <x v="1"/>
    <n v="29"/>
    <x v="4"/>
    <x v="3"/>
    <x v="0"/>
  </r>
  <r>
    <x v="17"/>
    <x v="104"/>
    <x v="1"/>
    <n v="33"/>
    <x v="12"/>
    <x v="3"/>
    <x v="0"/>
  </r>
  <r>
    <x v="18"/>
    <x v="105"/>
    <x v="0"/>
    <n v="25"/>
    <x v="8"/>
    <x v="4"/>
    <x v="0"/>
  </r>
  <r>
    <x v="18"/>
    <x v="105"/>
    <x v="0"/>
    <n v="25"/>
    <x v="8"/>
    <x v="4"/>
    <x v="0"/>
  </r>
  <r>
    <x v="18"/>
    <x v="106"/>
    <x v="0"/>
    <n v="25"/>
    <x v="18"/>
    <x v="4"/>
    <x v="0"/>
  </r>
  <r>
    <x v="18"/>
    <x v="107"/>
    <x v="1"/>
    <n v="33"/>
    <x v="12"/>
    <x v="4"/>
    <x v="0"/>
  </r>
  <r>
    <x v="18"/>
    <x v="108"/>
    <x v="1"/>
    <n v="27"/>
    <x v="5"/>
    <x v="4"/>
    <x v="0"/>
  </r>
  <r>
    <x v="18"/>
    <x v="109"/>
    <x v="0"/>
    <n v="15"/>
    <x v="0"/>
    <x v="4"/>
    <x v="0"/>
  </r>
  <r>
    <x v="18"/>
    <x v="110"/>
    <x v="0"/>
    <n v="20"/>
    <x v="1"/>
    <x v="4"/>
    <x v="0"/>
  </r>
  <r>
    <x v="18"/>
    <x v="111"/>
    <x v="1"/>
    <n v="15"/>
    <x v="0"/>
    <x v="4"/>
    <x v="0"/>
  </r>
  <r>
    <x v="18"/>
    <x v="112"/>
    <x v="1"/>
    <n v="15"/>
    <x v="0"/>
    <x v="4"/>
    <x v="0"/>
  </r>
  <r>
    <x v="18"/>
    <x v="113"/>
    <x v="1"/>
    <n v="15"/>
    <x v="0"/>
    <x v="4"/>
    <x v="0"/>
  </r>
  <r>
    <x v="18"/>
    <x v="114"/>
    <x v="1"/>
    <n v="15"/>
    <x v="0"/>
    <x v="4"/>
    <x v="0"/>
  </r>
  <r>
    <x v="18"/>
    <x v="115"/>
    <x v="0"/>
    <n v="33"/>
    <x v="12"/>
    <x v="4"/>
    <x v="0"/>
  </r>
  <r>
    <x v="18"/>
    <x v="116"/>
    <x v="1"/>
    <n v="33"/>
    <x v="12"/>
    <x v="4"/>
    <x v="0"/>
  </r>
  <r>
    <x v="18"/>
    <x v="117"/>
    <x v="1"/>
    <n v="27"/>
    <x v="5"/>
    <x v="4"/>
    <x v="0"/>
  </r>
  <r>
    <x v="18"/>
    <x v="118"/>
    <x v="1"/>
    <n v="29"/>
    <x v="4"/>
    <x v="4"/>
    <x v="0"/>
  </r>
  <r>
    <x v="18"/>
    <x v="119"/>
    <x v="1"/>
    <n v="25"/>
    <x v="22"/>
    <x v="4"/>
    <x v="0"/>
  </r>
  <r>
    <x v="18"/>
    <x v="120"/>
    <x v="1"/>
    <n v="28"/>
    <x v="17"/>
    <x v="4"/>
    <x v="0"/>
  </r>
  <r>
    <x v="19"/>
    <x v="121"/>
    <x v="0"/>
    <n v="25"/>
    <x v="8"/>
    <x v="5"/>
    <x v="0"/>
  </r>
  <r>
    <x v="19"/>
    <x v="122"/>
    <x v="0"/>
    <n v="15"/>
    <x v="0"/>
    <x v="5"/>
    <x v="0"/>
  </r>
  <r>
    <x v="20"/>
    <x v="123"/>
    <x v="1"/>
    <n v="25"/>
    <x v="8"/>
    <x v="6"/>
    <x v="0"/>
  </r>
  <r>
    <x v="20"/>
    <x v="124"/>
    <x v="0"/>
    <n v="20"/>
    <x v="1"/>
    <x v="6"/>
    <x v="0"/>
  </r>
  <r>
    <x v="20"/>
    <x v="125"/>
    <x v="0"/>
    <n v="33"/>
    <x v="12"/>
    <x v="6"/>
    <x v="0"/>
  </r>
  <r>
    <x v="20"/>
    <x v="126"/>
    <x v="0"/>
    <n v="33"/>
    <x v="12"/>
    <x v="6"/>
    <x v="0"/>
  </r>
  <r>
    <x v="20"/>
    <x v="127"/>
    <x v="0"/>
    <n v="30"/>
    <x v="9"/>
    <x v="6"/>
    <x v="0"/>
  </r>
  <r>
    <x v="20"/>
    <x v="66"/>
    <x v="0"/>
    <n v="25"/>
    <x v="8"/>
    <x v="6"/>
    <x v="0"/>
  </r>
  <r>
    <x v="20"/>
    <x v="128"/>
    <x v="1"/>
    <n v="28"/>
    <x v="14"/>
    <x v="6"/>
    <x v="0"/>
  </r>
  <r>
    <x v="20"/>
    <x v="129"/>
    <x v="1"/>
    <n v="28"/>
    <x v="6"/>
    <x v="6"/>
    <x v="0"/>
  </r>
  <r>
    <x v="20"/>
    <x v="130"/>
    <x v="1"/>
    <n v="25"/>
    <x v="8"/>
    <x v="6"/>
    <x v="0"/>
  </r>
  <r>
    <x v="21"/>
    <x v="131"/>
    <x v="0"/>
    <n v="30"/>
    <x v="9"/>
    <x v="0"/>
    <x v="1"/>
  </r>
  <r>
    <x v="21"/>
    <x v="132"/>
    <x v="0"/>
    <n v="25"/>
    <x v="8"/>
    <x v="0"/>
    <x v="1"/>
  </r>
  <r>
    <x v="21"/>
    <x v="133"/>
    <x v="0"/>
    <n v="15"/>
    <x v="0"/>
    <x v="0"/>
    <x v="1"/>
  </r>
  <r>
    <x v="21"/>
    <x v="134"/>
    <x v="1"/>
    <n v="27"/>
    <x v="3"/>
    <x v="0"/>
    <x v="1"/>
  </r>
  <r>
    <x v="21"/>
    <x v="135"/>
    <x v="1"/>
    <n v="27"/>
    <x v="5"/>
    <x v="0"/>
    <x v="1"/>
  </r>
  <r>
    <x v="22"/>
    <x v="136"/>
    <x v="1"/>
    <n v="25"/>
    <x v="8"/>
    <x v="1"/>
    <x v="1"/>
  </r>
  <r>
    <x v="22"/>
    <x v="137"/>
    <x v="1"/>
    <n v="30"/>
    <x v="9"/>
    <x v="1"/>
    <x v="1"/>
  </r>
  <r>
    <x v="22"/>
    <x v="138"/>
    <x v="1"/>
    <n v="28"/>
    <x v="19"/>
    <x v="1"/>
    <x v="1"/>
  </r>
  <r>
    <x v="22"/>
    <x v="139"/>
    <x v="0"/>
    <n v="28"/>
    <x v="23"/>
    <x v="1"/>
    <x v="1"/>
  </r>
  <r>
    <x v="22"/>
    <x v="139"/>
    <x v="0"/>
    <n v="30"/>
    <x v="9"/>
    <x v="1"/>
    <x v="1"/>
  </r>
  <r>
    <x v="22"/>
    <x v="140"/>
    <x v="0"/>
    <n v="28"/>
    <x v="14"/>
    <x v="1"/>
    <x v="1"/>
  </r>
  <r>
    <x v="22"/>
    <x v="141"/>
    <x v="1"/>
    <n v="25"/>
    <x v="18"/>
    <x v="1"/>
    <x v="1"/>
  </r>
  <r>
    <x v="22"/>
    <x v="142"/>
    <x v="1"/>
    <n v="27"/>
    <x v="3"/>
    <x v="1"/>
    <x v="1"/>
  </r>
  <r>
    <x v="22"/>
    <x v="143"/>
    <x v="1"/>
    <n v="27"/>
    <x v="5"/>
    <x v="1"/>
    <x v="1"/>
  </r>
  <r>
    <x v="22"/>
    <x v="144"/>
    <x v="1"/>
    <n v="33"/>
    <x v="12"/>
    <x v="1"/>
    <x v="1"/>
  </r>
  <r>
    <x v="22"/>
    <x v="145"/>
    <x v="0"/>
    <n v="25"/>
    <x v="22"/>
    <x v="1"/>
    <x v="1"/>
  </r>
  <r>
    <x v="23"/>
    <x v="146"/>
    <x v="1"/>
    <n v="25"/>
    <x v="8"/>
    <x v="2"/>
    <x v="1"/>
  </r>
  <r>
    <x v="23"/>
    <x v="147"/>
    <x v="1"/>
    <n v="25"/>
    <x v="18"/>
    <x v="2"/>
    <x v="1"/>
  </r>
  <r>
    <x v="23"/>
    <x v="148"/>
    <x v="1"/>
    <n v="25"/>
    <x v="18"/>
    <x v="2"/>
    <x v="1"/>
  </r>
  <r>
    <x v="23"/>
    <x v="149"/>
    <x v="1"/>
    <n v="27"/>
    <x v="24"/>
    <x v="2"/>
    <x v="1"/>
  </r>
  <r>
    <x v="23"/>
    <x v="150"/>
    <x v="1"/>
    <n v="28"/>
    <x v="11"/>
    <x v="2"/>
    <x v="1"/>
  </r>
  <r>
    <x v="23"/>
    <x v="151"/>
    <x v="1"/>
    <n v="25"/>
    <x v="8"/>
    <x v="2"/>
    <x v="1"/>
  </r>
  <r>
    <x v="24"/>
    <x v="152"/>
    <x v="1"/>
    <n v="25"/>
    <x v="18"/>
    <x v="4"/>
    <x v="1"/>
  </r>
  <r>
    <x v="24"/>
    <x v="153"/>
    <x v="1"/>
    <n v="27"/>
    <x v="25"/>
    <x v="4"/>
    <x v="1"/>
  </r>
  <r>
    <x v="24"/>
    <x v="154"/>
    <x v="0"/>
    <n v="20"/>
    <x v="1"/>
    <x v="4"/>
    <x v="1"/>
  </r>
  <r>
    <x v="24"/>
    <x v="155"/>
    <x v="0"/>
    <n v="25"/>
    <x v="13"/>
    <x v="4"/>
    <x v="1"/>
  </r>
  <r>
    <x v="24"/>
    <x v="156"/>
    <x v="0"/>
    <n v="27"/>
    <x v="5"/>
    <x v="4"/>
    <x v="1"/>
  </r>
  <r>
    <x v="24"/>
    <x v="157"/>
    <x v="1"/>
    <n v="33"/>
    <x v="12"/>
    <x v="4"/>
    <x v="1"/>
  </r>
  <r>
    <x v="24"/>
    <x v="158"/>
    <x v="1"/>
    <n v="25"/>
    <x v="8"/>
    <x v="4"/>
    <x v="1"/>
  </r>
  <r>
    <x v="24"/>
    <x v="159"/>
    <x v="1"/>
    <n v="25"/>
    <x v="13"/>
    <x v="4"/>
    <x v="1"/>
  </r>
  <r>
    <x v="25"/>
    <x v="160"/>
    <x v="1"/>
    <n v="27"/>
    <x v="26"/>
    <x v="6"/>
    <x v="1"/>
  </r>
  <r>
    <x v="25"/>
    <x v="161"/>
    <x v="1"/>
    <n v="25"/>
    <x v="8"/>
    <x v="6"/>
    <x v="1"/>
  </r>
  <r>
    <x v="25"/>
    <x v="162"/>
    <x v="1"/>
    <n v="27"/>
    <x v="24"/>
    <x v="6"/>
    <x v="1"/>
  </r>
  <r>
    <x v="25"/>
    <x v="163"/>
    <x v="1"/>
    <n v="25"/>
    <x v="18"/>
    <x v="6"/>
    <x v="1"/>
  </r>
  <r>
    <x v="25"/>
    <x v="164"/>
    <x v="0"/>
    <n v="27"/>
    <x v="3"/>
    <x v="6"/>
    <x v="1"/>
  </r>
  <r>
    <x v="26"/>
    <x v="165"/>
    <x v="1"/>
    <n v="25"/>
    <x v="8"/>
    <x v="0"/>
    <x v="1"/>
  </r>
  <r>
    <x v="26"/>
    <x v="166"/>
    <x v="1"/>
    <n v="20"/>
    <x v="1"/>
    <x v="0"/>
    <x v="1"/>
  </r>
  <r>
    <x v="26"/>
    <x v="167"/>
    <x v="1"/>
    <n v="30"/>
    <x v="27"/>
    <x v="0"/>
    <x v="1"/>
  </r>
  <r>
    <x v="26"/>
    <x v="168"/>
    <x v="1"/>
    <n v="28"/>
    <x v="17"/>
    <x v="0"/>
    <x v="1"/>
  </r>
  <r>
    <x v="27"/>
    <x v="169"/>
    <x v="1"/>
    <n v="25"/>
    <x v="13"/>
    <x v="1"/>
    <x v="1"/>
  </r>
  <r>
    <x v="27"/>
    <x v="170"/>
    <x v="1"/>
    <n v="25"/>
    <x v="13"/>
    <x v="1"/>
    <x v="1"/>
  </r>
  <r>
    <x v="27"/>
    <x v="171"/>
    <x v="0"/>
    <n v="25"/>
    <x v="13"/>
    <x v="1"/>
    <x v="1"/>
  </r>
  <r>
    <x v="27"/>
    <x v="172"/>
    <x v="1"/>
    <n v="30"/>
    <x v="16"/>
    <x v="1"/>
    <x v="1"/>
  </r>
  <r>
    <x v="27"/>
    <x v="173"/>
    <x v="1"/>
    <n v="25"/>
    <x v="13"/>
    <x v="1"/>
    <x v="1"/>
  </r>
  <r>
    <x v="27"/>
    <x v="174"/>
    <x v="1"/>
    <n v="28"/>
    <x v="20"/>
    <x v="1"/>
    <x v="1"/>
  </r>
  <r>
    <x v="27"/>
    <x v="175"/>
    <x v="1"/>
    <n v="27"/>
    <x v="5"/>
    <x v="1"/>
    <x v="1"/>
  </r>
  <r>
    <x v="27"/>
    <x v="176"/>
    <x v="0"/>
    <n v="27"/>
    <x v="3"/>
    <x v="1"/>
    <x v="1"/>
  </r>
  <r>
    <x v="28"/>
    <x v="177"/>
    <x v="0"/>
    <n v="25"/>
    <x v="13"/>
    <x v="2"/>
    <x v="1"/>
  </r>
  <r>
    <x v="28"/>
    <x v="178"/>
    <x v="1"/>
    <n v="27"/>
    <x v="5"/>
    <x v="2"/>
    <x v="1"/>
  </r>
  <r>
    <x v="28"/>
    <x v="179"/>
    <x v="1"/>
    <n v="27"/>
    <x v="5"/>
    <x v="2"/>
    <x v="1"/>
  </r>
  <r>
    <x v="28"/>
    <x v="180"/>
    <x v="1"/>
    <n v="30"/>
    <x v="9"/>
    <x v="2"/>
    <x v="1"/>
  </r>
  <r>
    <x v="29"/>
    <x v="181"/>
    <x v="1"/>
    <n v="30"/>
    <x v="9"/>
    <x v="3"/>
    <x v="1"/>
  </r>
  <r>
    <x v="29"/>
    <x v="182"/>
    <x v="0"/>
    <n v="27"/>
    <x v="3"/>
    <x v="3"/>
    <x v="1"/>
  </r>
  <r>
    <x v="29"/>
    <x v="183"/>
    <x v="0"/>
    <n v="28"/>
    <x v="14"/>
    <x v="3"/>
    <x v="1"/>
  </r>
  <r>
    <x v="29"/>
    <x v="184"/>
    <x v="1"/>
    <n v="27"/>
    <x v="24"/>
    <x v="3"/>
    <x v="1"/>
  </r>
  <r>
    <x v="29"/>
    <x v="185"/>
    <x v="1"/>
    <n v="27"/>
    <x v="24"/>
    <x v="3"/>
    <x v="1"/>
  </r>
  <r>
    <x v="30"/>
    <x v="186"/>
    <x v="1"/>
    <n v="33"/>
    <x v="12"/>
    <x v="4"/>
    <x v="1"/>
  </r>
  <r>
    <x v="30"/>
    <x v="187"/>
    <x v="1"/>
    <n v="25"/>
    <x v="13"/>
    <x v="4"/>
    <x v="1"/>
  </r>
  <r>
    <x v="30"/>
    <x v="188"/>
    <x v="1"/>
    <n v="25"/>
    <x v="8"/>
    <x v="4"/>
    <x v="1"/>
  </r>
  <r>
    <x v="30"/>
    <x v="189"/>
    <x v="1"/>
    <n v="28"/>
    <x v="6"/>
    <x v="4"/>
    <x v="1"/>
  </r>
  <r>
    <x v="30"/>
    <x v="190"/>
    <x v="1"/>
    <n v="25"/>
    <x v="8"/>
    <x v="4"/>
    <x v="1"/>
  </r>
  <r>
    <x v="30"/>
    <x v="191"/>
    <x v="1"/>
    <n v="25"/>
    <x v="8"/>
    <x v="4"/>
    <x v="1"/>
  </r>
  <r>
    <x v="30"/>
    <x v="192"/>
    <x v="1"/>
    <n v="27"/>
    <x v="5"/>
    <x v="4"/>
    <x v="1"/>
  </r>
  <r>
    <x v="30"/>
    <x v="193"/>
    <x v="1"/>
    <n v="27"/>
    <x v="5"/>
    <x v="4"/>
    <x v="1"/>
  </r>
  <r>
    <x v="31"/>
    <x v="194"/>
    <x v="1"/>
    <n v="25"/>
    <x v="8"/>
    <x v="6"/>
    <x v="1"/>
  </r>
  <r>
    <x v="31"/>
    <x v="195"/>
    <x v="1"/>
    <n v="28"/>
    <x v="6"/>
    <x v="6"/>
    <x v="1"/>
  </r>
  <r>
    <x v="31"/>
    <x v="196"/>
    <x v="1"/>
    <n v="33"/>
    <x v="12"/>
    <x v="6"/>
    <x v="1"/>
  </r>
  <r>
    <x v="31"/>
    <x v="197"/>
    <x v="1"/>
    <n v="27"/>
    <x v="5"/>
    <x v="6"/>
    <x v="1"/>
  </r>
  <r>
    <x v="32"/>
    <x v="198"/>
    <x v="1"/>
    <n v="15"/>
    <x v="0"/>
    <x v="0"/>
    <x v="1"/>
  </r>
  <r>
    <x v="32"/>
    <x v="199"/>
    <x v="1"/>
    <n v="20"/>
    <x v="1"/>
    <x v="0"/>
    <x v="1"/>
  </r>
  <r>
    <x v="32"/>
    <x v="200"/>
    <x v="1"/>
    <n v="25"/>
    <x v="18"/>
    <x v="0"/>
    <x v="1"/>
  </r>
  <r>
    <x v="32"/>
    <x v="201"/>
    <x v="1"/>
    <n v="25"/>
    <x v="18"/>
    <x v="0"/>
    <x v="1"/>
  </r>
  <r>
    <x v="32"/>
    <x v="202"/>
    <x v="1"/>
    <n v="27"/>
    <x v="5"/>
    <x v="0"/>
    <x v="1"/>
  </r>
  <r>
    <x v="32"/>
    <x v="203"/>
    <x v="1"/>
    <n v="27"/>
    <x v="3"/>
    <x v="0"/>
    <x v="1"/>
  </r>
  <r>
    <x v="32"/>
    <x v="204"/>
    <x v="1"/>
    <n v="28"/>
    <x v="11"/>
    <x v="0"/>
    <x v="1"/>
  </r>
  <r>
    <x v="32"/>
    <x v="205"/>
    <x v="1"/>
    <n v="25"/>
    <x v="18"/>
    <x v="0"/>
    <x v="1"/>
  </r>
  <r>
    <x v="32"/>
    <x v="206"/>
    <x v="1"/>
    <n v="25"/>
    <x v="8"/>
    <x v="0"/>
    <x v="1"/>
  </r>
  <r>
    <x v="32"/>
    <x v="207"/>
    <x v="1"/>
    <n v="33"/>
    <x v="12"/>
    <x v="0"/>
    <x v="1"/>
  </r>
  <r>
    <x v="32"/>
    <x v="208"/>
    <x v="1"/>
    <n v="30"/>
    <x v="9"/>
    <x v="0"/>
    <x v="1"/>
  </r>
  <r>
    <x v="33"/>
    <x v="209"/>
    <x v="1"/>
    <n v="25"/>
    <x v="8"/>
    <x v="1"/>
    <x v="1"/>
  </r>
  <r>
    <x v="33"/>
    <x v="210"/>
    <x v="1"/>
    <n v="25"/>
    <x v="8"/>
    <x v="1"/>
    <x v="1"/>
  </r>
  <r>
    <x v="33"/>
    <x v="211"/>
    <x v="0"/>
    <n v="25"/>
    <x v="8"/>
    <x v="1"/>
    <x v="1"/>
  </r>
  <r>
    <x v="33"/>
    <x v="212"/>
    <x v="1"/>
    <n v="29"/>
    <x v="4"/>
    <x v="1"/>
    <x v="1"/>
  </r>
  <r>
    <x v="34"/>
    <x v="213"/>
    <x v="1"/>
    <n v="29"/>
    <x v="4"/>
    <x v="2"/>
    <x v="1"/>
  </r>
  <r>
    <x v="34"/>
    <x v="214"/>
    <x v="1"/>
    <n v="25"/>
    <x v="18"/>
    <x v="2"/>
    <x v="1"/>
  </r>
  <r>
    <x v="34"/>
    <x v="215"/>
    <x v="1"/>
    <n v="33"/>
    <x v="12"/>
    <x v="2"/>
    <x v="1"/>
  </r>
  <r>
    <x v="34"/>
    <x v="216"/>
    <x v="1"/>
    <n v="29"/>
    <x v="4"/>
    <x v="2"/>
    <x v="1"/>
  </r>
  <r>
    <x v="34"/>
    <x v="217"/>
    <x v="1"/>
    <n v="29"/>
    <x v="4"/>
    <x v="2"/>
    <x v="1"/>
  </r>
  <r>
    <x v="35"/>
    <x v="218"/>
    <x v="1"/>
    <n v="29"/>
    <x v="4"/>
    <x v="3"/>
    <x v="1"/>
  </r>
  <r>
    <x v="35"/>
    <x v="219"/>
    <x v="0"/>
    <n v="28"/>
    <x v="6"/>
    <x v="3"/>
    <x v="1"/>
  </r>
  <r>
    <x v="35"/>
    <x v="220"/>
    <x v="0"/>
    <n v="20"/>
    <x v="1"/>
    <x v="3"/>
    <x v="1"/>
  </r>
  <r>
    <x v="35"/>
    <x v="221"/>
    <x v="1"/>
    <n v="25"/>
    <x v="18"/>
    <x v="3"/>
    <x v="1"/>
  </r>
  <r>
    <x v="35"/>
    <x v="222"/>
    <x v="1"/>
    <n v="30"/>
    <x v="2"/>
    <x v="3"/>
    <x v="1"/>
  </r>
  <r>
    <x v="35"/>
    <x v="223"/>
    <x v="1"/>
    <n v="30"/>
    <x v="2"/>
    <x v="3"/>
    <x v="1"/>
  </r>
  <r>
    <x v="36"/>
    <x v="224"/>
    <x v="1"/>
    <n v="25"/>
    <x v="18"/>
    <x v="4"/>
    <x v="1"/>
  </r>
  <r>
    <x v="36"/>
    <x v="225"/>
    <x v="1"/>
    <n v="27"/>
    <x v="3"/>
    <x v="4"/>
    <x v="1"/>
  </r>
  <r>
    <x v="36"/>
    <x v="226"/>
    <x v="0"/>
    <n v="30"/>
    <x v="16"/>
    <x v="4"/>
    <x v="1"/>
  </r>
  <r>
    <x v="36"/>
    <x v="227"/>
    <x v="0"/>
    <n v="33"/>
    <x v="12"/>
    <x v="4"/>
    <x v="1"/>
  </r>
  <r>
    <x v="36"/>
    <x v="228"/>
    <x v="0"/>
    <n v="25"/>
    <x v="28"/>
    <x v="4"/>
    <x v="1"/>
  </r>
  <r>
    <x v="37"/>
    <x v="229"/>
    <x v="1"/>
    <n v="25"/>
    <x v="18"/>
    <x v="5"/>
    <x v="1"/>
  </r>
  <r>
    <x v="37"/>
    <x v="230"/>
    <x v="1"/>
    <n v="33"/>
    <x v="12"/>
    <x v="5"/>
    <x v="1"/>
  </r>
  <r>
    <x v="37"/>
    <x v="231"/>
    <x v="0"/>
    <n v="30"/>
    <x v="2"/>
    <x v="5"/>
    <x v="1"/>
  </r>
  <r>
    <x v="38"/>
    <x v="232"/>
    <x v="1"/>
    <n v="25"/>
    <x v="18"/>
    <x v="6"/>
    <x v="1"/>
  </r>
  <r>
    <x v="38"/>
    <x v="233"/>
    <x v="1"/>
    <n v="27"/>
    <x v="3"/>
    <x v="6"/>
    <x v="1"/>
  </r>
  <r>
    <x v="38"/>
    <x v="234"/>
    <x v="1"/>
    <n v="28"/>
    <x v="14"/>
    <x v="6"/>
    <x v="1"/>
  </r>
  <r>
    <x v="38"/>
    <x v="235"/>
    <x v="1"/>
    <n v="25"/>
    <x v="8"/>
    <x v="6"/>
    <x v="1"/>
  </r>
  <r>
    <x v="39"/>
    <x v="236"/>
    <x v="1"/>
    <n v="27"/>
    <x v="5"/>
    <x v="0"/>
    <x v="1"/>
  </r>
  <r>
    <x v="39"/>
    <x v="237"/>
    <x v="1"/>
    <n v="27"/>
    <x v="24"/>
    <x v="0"/>
    <x v="1"/>
  </r>
  <r>
    <x v="39"/>
    <x v="238"/>
    <x v="1"/>
    <n v="25"/>
    <x v="18"/>
    <x v="0"/>
    <x v="1"/>
  </r>
  <r>
    <x v="39"/>
    <x v="239"/>
    <x v="1"/>
    <n v="15"/>
    <x v="0"/>
    <x v="0"/>
    <x v="1"/>
  </r>
  <r>
    <x v="39"/>
    <x v="240"/>
    <x v="0"/>
    <n v="25"/>
    <x v="18"/>
    <x v="0"/>
    <x v="1"/>
  </r>
  <r>
    <x v="39"/>
    <x v="241"/>
    <x v="1"/>
    <n v="28"/>
    <x v="11"/>
    <x v="0"/>
    <x v="1"/>
  </r>
  <r>
    <x v="39"/>
    <x v="242"/>
    <x v="0"/>
    <n v="22"/>
    <x v="29"/>
    <x v="0"/>
    <x v="1"/>
  </r>
  <r>
    <x v="39"/>
    <x v="243"/>
    <x v="1"/>
    <n v="25"/>
    <x v="8"/>
    <x v="0"/>
    <x v="1"/>
  </r>
  <r>
    <x v="39"/>
    <x v="244"/>
    <x v="1"/>
    <n v="25"/>
    <x v="8"/>
    <x v="0"/>
    <x v="1"/>
  </r>
  <r>
    <x v="39"/>
    <x v="245"/>
    <x v="1"/>
    <n v="29"/>
    <x v="4"/>
    <x v="0"/>
    <x v="1"/>
  </r>
  <r>
    <x v="40"/>
    <x v="246"/>
    <x v="0"/>
    <n v="25"/>
    <x v="18"/>
    <x v="1"/>
    <x v="1"/>
  </r>
  <r>
    <x v="40"/>
    <x v="247"/>
    <x v="0"/>
    <n v="25"/>
    <x v="8"/>
    <x v="1"/>
    <x v="1"/>
  </r>
  <r>
    <x v="40"/>
    <x v="247"/>
    <x v="0"/>
    <n v="25"/>
    <x v="8"/>
    <x v="1"/>
    <x v="1"/>
  </r>
  <r>
    <x v="40"/>
    <x v="248"/>
    <x v="0"/>
    <n v="30"/>
    <x v="9"/>
    <x v="1"/>
    <x v="1"/>
  </r>
  <r>
    <x v="40"/>
    <x v="249"/>
    <x v="1"/>
    <n v="25"/>
    <x v="18"/>
    <x v="1"/>
    <x v="1"/>
  </r>
  <r>
    <x v="40"/>
    <x v="250"/>
    <x v="1"/>
    <n v="28"/>
    <x v="14"/>
    <x v="1"/>
    <x v="1"/>
  </r>
  <r>
    <x v="40"/>
    <x v="251"/>
    <x v="1"/>
    <n v="28"/>
    <x v="20"/>
    <x v="1"/>
    <x v="1"/>
  </r>
  <r>
    <x v="40"/>
    <x v="252"/>
    <x v="1"/>
    <n v="29"/>
    <x v="4"/>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1" firstHeaderRow="1" firstDataRow="1" firstDataCol="1"/>
  <pivotFields count="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21" showAll="0">
      <items count="254">
        <item x="71"/>
        <item x="169"/>
        <item x="181"/>
        <item x="186"/>
        <item x="28"/>
        <item x="67"/>
        <item x="55"/>
        <item x="123"/>
        <item x="213"/>
        <item x="72"/>
        <item x="229"/>
        <item x="29"/>
        <item x="56"/>
        <item x="218"/>
        <item x="81"/>
        <item x="187"/>
        <item x="8"/>
        <item x="30"/>
        <item x="73"/>
        <item x="232"/>
        <item x="82"/>
        <item x="22"/>
        <item x="74"/>
        <item x="41"/>
        <item x="105"/>
        <item x="83"/>
        <item x="25"/>
        <item x="63"/>
        <item x="182"/>
        <item x="64"/>
        <item x="84"/>
        <item x="246"/>
        <item x="247"/>
        <item x="31"/>
        <item x="106"/>
        <item x="68"/>
        <item x="146"/>
        <item x="9"/>
        <item x="10"/>
        <item x="236"/>
        <item x="237"/>
        <item x="238"/>
        <item x="214"/>
        <item x="95"/>
        <item x="147"/>
        <item x="42"/>
        <item x="148"/>
        <item x="136"/>
        <item x="137"/>
        <item x="149"/>
        <item x="152"/>
        <item x="107"/>
        <item x="165"/>
        <item x="108"/>
        <item x="131"/>
        <item x="121"/>
        <item x="153"/>
        <item x="132"/>
        <item x="109"/>
        <item x="170"/>
        <item x="110"/>
        <item x="230"/>
        <item x="111"/>
        <item x="112"/>
        <item x="124"/>
        <item x="69"/>
        <item x="75"/>
        <item x="92"/>
        <item x="76"/>
        <item x="177"/>
        <item x="138"/>
        <item x="113"/>
        <item x="11"/>
        <item x="70"/>
        <item x="114"/>
        <item x="23"/>
        <item x="194"/>
        <item x="32"/>
        <item x="154"/>
        <item x="160"/>
        <item x="161"/>
        <item x="183"/>
        <item x="139"/>
        <item x="133"/>
        <item x="115"/>
        <item x="198"/>
        <item x="155"/>
        <item x="199"/>
        <item x="156"/>
        <item x="77"/>
        <item x="99"/>
        <item x="12"/>
        <item x="200"/>
        <item x="201"/>
        <item x="43"/>
        <item x="44"/>
        <item x="195"/>
        <item x="209"/>
        <item x="178"/>
        <item x="162"/>
        <item x="163"/>
        <item x="0"/>
        <item x="33"/>
        <item x="1"/>
        <item x="2"/>
        <item x="34"/>
        <item x="125"/>
        <item x="126"/>
        <item x="210"/>
        <item x="134"/>
        <item x="116"/>
        <item x="140"/>
        <item x="248"/>
        <item x="202"/>
        <item x="203"/>
        <item x="219"/>
        <item x="211"/>
        <item x="171"/>
        <item x="172"/>
        <item x="96"/>
        <item x="249"/>
        <item x="13"/>
        <item x="97"/>
        <item x="179"/>
        <item x="45"/>
        <item x="46"/>
        <item x="65"/>
        <item x="127"/>
        <item x="66"/>
        <item x="14"/>
        <item x="204"/>
        <item x="47"/>
        <item x="3"/>
        <item x="85"/>
        <item x="98"/>
        <item x="196"/>
        <item x="212"/>
        <item x="35"/>
        <item x="141"/>
        <item x="86"/>
        <item x="15"/>
        <item x="150"/>
        <item x="16"/>
        <item x="17"/>
        <item x="57"/>
        <item x="4"/>
        <item x="166"/>
        <item x="135"/>
        <item x="48"/>
        <item x="49"/>
        <item x="50"/>
        <item x="87"/>
        <item x="215"/>
        <item x="117"/>
        <item x="224"/>
        <item x="188"/>
        <item x="58"/>
        <item x="189"/>
        <item x="239"/>
        <item x="59"/>
        <item x="122"/>
        <item x="78"/>
        <item x="240"/>
        <item x="118"/>
        <item x="79"/>
        <item x="88"/>
        <item x="119"/>
        <item x="231"/>
        <item x="173"/>
        <item x="216"/>
        <item x="225"/>
        <item x="226"/>
        <item x="80"/>
        <item x="227"/>
        <item x="220"/>
        <item x="241"/>
        <item x="18"/>
        <item x="221"/>
        <item x="60"/>
        <item x="27"/>
        <item x="242"/>
        <item x="250"/>
        <item x="19"/>
        <item x="251"/>
        <item x="20"/>
        <item x="184"/>
        <item x="185"/>
        <item x="174"/>
        <item x="24"/>
        <item x="61"/>
        <item x="100"/>
        <item x="217"/>
        <item x="101"/>
        <item x="26"/>
        <item x="93"/>
        <item x="157"/>
        <item x="158"/>
        <item x="175"/>
        <item x="89"/>
        <item x="159"/>
        <item x="90"/>
        <item x="190"/>
        <item x="191"/>
        <item x="91"/>
        <item x="5"/>
        <item x="6"/>
        <item x="7"/>
        <item x="36"/>
        <item x="94"/>
        <item x="205"/>
        <item x="206"/>
        <item x="176"/>
        <item x="37"/>
        <item x="51"/>
        <item x="38"/>
        <item x="222"/>
        <item x="223"/>
        <item x="233"/>
        <item x="234"/>
        <item x="228"/>
        <item x="21"/>
        <item x="39"/>
        <item x="128"/>
        <item x="40"/>
        <item x="142"/>
        <item x="143"/>
        <item x="102"/>
        <item x="144"/>
        <item x="145"/>
        <item x="120"/>
        <item x="207"/>
        <item x="252"/>
        <item x="197"/>
        <item x="167"/>
        <item x="164"/>
        <item x="192"/>
        <item x="193"/>
        <item x="103"/>
        <item x="104"/>
        <item x="235"/>
        <item x="168"/>
        <item x="208"/>
        <item x="151"/>
        <item x="62"/>
        <item x="180"/>
        <item x="129"/>
        <item x="243"/>
        <item x="244"/>
        <item x="245"/>
        <item x="130"/>
        <item x="52"/>
        <item x="53"/>
        <item x="54"/>
        <item t="default"/>
      </items>
    </pivotField>
    <pivotField showAll="0"/>
    <pivotField dataField="1" showAll="0"/>
    <pivotField showAll="0">
      <items count="31">
        <item x="13"/>
        <item x="8"/>
        <item x="9"/>
        <item x="29"/>
        <item x="19"/>
        <item x="17"/>
        <item x="11"/>
        <item x="22"/>
        <item x="21"/>
        <item x="2"/>
        <item x="3"/>
        <item x="23"/>
        <item x="4"/>
        <item x="28"/>
        <item x="7"/>
        <item x="10"/>
        <item x="6"/>
        <item x="26"/>
        <item x="15"/>
        <item x="1"/>
        <item x="27"/>
        <item x="18"/>
        <item x="5"/>
        <item x="24"/>
        <item x="12"/>
        <item x="16"/>
        <item x="14"/>
        <item x="0"/>
        <item x="25"/>
        <item x="20"/>
        <item t="default"/>
      </items>
    </pivotField>
    <pivotField axis="axisRow" showAll="0" sortType="ascending">
      <items count="8">
        <item x="2"/>
        <item x="3"/>
        <item x="4"/>
        <item x="5"/>
        <item x="6"/>
        <item x="0"/>
        <item x="1"/>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s>
  <rowFields count="1">
    <field x="5"/>
  </rowFields>
  <rowItems count="8">
    <i>
      <x v="1"/>
    </i>
    <i>
      <x v="3"/>
    </i>
    <i>
      <x/>
    </i>
    <i>
      <x v="2"/>
    </i>
    <i>
      <x v="4"/>
    </i>
    <i>
      <x v="5"/>
    </i>
    <i>
      <x v="6"/>
    </i>
    <i t="grand">
      <x/>
    </i>
  </rowItems>
  <colItems count="1">
    <i/>
  </colItems>
  <dataFields count="1">
    <dataField name="Sum of Money" fld="3" baseField="0" baseItem="0" numFmtId="164"/>
  </dataFields>
  <formats count="1">
    <format dxfId="40">
      <pivotArea outline="0" collapsedLevelsAreSubtotals="1" fieldPosition="0"/>
    </format>
  </format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5"/>
          </reference>
        </references>
      </pivotArea>
    </chartFormat>
    <chartFormat chart="0" format="2">
      <pivotArea type="data" outline="0" fieldPosition="0">
        <references count="2">
          <reference field="4294967294" count="1" selected="0">
            <x v="0"/>
          </reference>
          <reference field="5" count="1" selected="0">
            <x v="4"/>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0"/>
          </reference>
        </references>
      </pivotArea>
    </chartFormat>
    <chartFormat chart="0" format="5">
      <pivotArea type="data" outline="0" fieldPosition="0">
        <references count="2">
          <reference field="4294967294" count="1" selected="0">
            <x v="0"/>
          </reference>
          <reference field="5" count="1" selected="0">
            <x v="3"/>
          </reference>
        </references>
      </pivotArea>
    </chartFormat>
    <chartFormat chart="0" format="6">
      <pivotArea type="data" outline="0" fieldPosition="0">
        <references count="2">
          <reference field="4294967294" count="1" selected="0">
            <x v="0"/>
          </reference>
          <reference field="5" count="1" selected="0">
            <x v="1"/>
          </reference>
        </references>
      </pivotArea>
    </chartFormat>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5" count="1" selected="0">
            <x v="5"/>
          </reference>
        </references>
      </pivotArea>
    </chartFormat>
    <chartFormat chart="2" format="16">
      <pivotArea type="data" outline="0" fieldPosition="0">
        <references count="2">
          <reference field="4294967294" count="1" selected="0">
            <x v="0"/>
          </reference>
          <reference field="5" count="1" selected="0">
            <x v="4"/>
          </reference>
        </references>
      </pivotArea>
    </chartFormat>
    <chartFormat chart="2" format="17">
      <pivotArea type="data" outline="0" fieldPosition="0">
        <references count="2">
          <reference field="4294967294" count="1" selected="0">
            <x v="0"/>
          </reference>
          <reference field="5" count="1" selected="0">
            <x v="2"/>
          </reference>
        </references>
      </pivotArea>
    </chartFormat>
    <chartFormat chart="2" format="18">
      <pivotArea type="data" outline="0" fieldPosition="0">
        <references count="2">
          <reference field="4294967294" count="1" selected="0">
            <x v="0"/>
          </reference>
          <reference field="5" count="1" selected="0">
            <x v="0"/>
          </reference>
        </references>
      </pivotArea>
    </chartFormat>
    <chartFormat chart="2" format="19">
      <pivotArea type="data" outline="0" fieldPosition="0">
        <references count="2">
          <reference field="4294967294" count="1" selected="0">
            <x v="0"/>
          </reference>
          <reference field="5" count="1" selected="0">
            <x v="3"/>
          </reference>
        </references>
      </pivotArea>
    </chartFormat>
    <chartFormat chart="2" format="20">
      <pivotArea type="data" outline="0" fieldPosition="0">
        <references count="2">
          <reference field="4294967294" count="1" selected="0">
            <x v="0"/>
          </reference>
          <reference field="5" count="1" selected="0">
            <x v="1"/>
          </reference>
        </references>
      </pivotArea>
    </chartFormat>
    <chartFormat chart="2" format="21">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6" firstHeaderRow="1" firstDataRow="1" firstDataCol="1"/>
  <pivotFields count="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21" showAll="0">
      <items count="254">
        <item x="71"/>
        <item x="169"/>
        <item x="181"/>
        <item x="186"/>
        <item x="28"/>
        <item x="67"/>
        <item x="55"/>
        <item x="123"/>
        <item x="213"/>
        <item x="72"/>
        <item x="229"/>
        <item x="29"/>
        <item x="56"/>
        <item x="218"/>
        <item x="81"/>
        <item x="187"/>
        <item x="8"/>
        <item x="30"/>
        <item x="73"/>
        <item x="232"/>
        <item x="82"/>
        <item x="22"/>
        <item x="74"/>
        <item x="41"/>
        <item x="105"/>
        <item x="83"/>
        <item x="25"/>
        <item x="63"/>
        <item x="182"/>
        <item x="64"/>
        <item x="84"/>
        <item x="246"/>
        <item x="247"/>
        <item x="31"/>
        <item x="106"/>
        <item x="68"/>
        <item x="146"/>
        <item x="9"/>
        <item x="10"/>
        <item x="236"/>
        <item x="237"/>
        <item x="238"/>
        <item x="214"/>
        <item x="95"/>
        <item x="147"/>
        <item x="42"/>
        <item x="148"/>
        <item x="136"/>
        <item x="137"/>
        <item x="149"/>
        <item x="152"/>
        <item x="107"/>
        <item x="165"/>
        <item x="108"/>
        <item x="131"/>
        <item x="121"/>
        <item x="153"/>
        <item x="132"/>
        <item x="109"/>
        <item x="170"/>
        <item x="110"/>
        <item x="230"/>
        <item x="111"/>
        <item x="112"/>
        <item x="124"/>
        <item x="69"/>
        <item x="75"/>
        <item x="92"/>
        <item x="76"/>
        <item x="177"/>
        <item x="138"/>
        <item x="113"/>
        <item x="11"/>
        <item x="70"/>
        <item x="114"/>
        <item x="23"/>
        <item x="194"/>
        <item x="32"/>
        <item x="154"/>
        <item x="160"/>
        <item x="161"/>
        <item x="183"/>
        <item x="139"/>
        <item x="133"/>
        <item x="115"/>
        <item x="198"/>
        <item x="155"/>
        <item x="199"/>
        <item x="156"/>
        <item x="77"/>
        <item x="99"/>
        <item x="12"/>
        <item x="200"/>
        <item x="201"/>
        <item x="43"/>
        <item x="44"/>
        <item x="195"/>
        <item x="209"/>
        <item x="178"/>
        <item x="162"/>
        <item x="163"/>
        <item x="0"/>
        <item x="33"/>
        <item x="1"/>
        <item x="2"/>
        <item x="34"/>
        <item x="125"/>
        <item x="126"/>
        <item x="210"/>
        <item x="134"/>
        <item x="116"/>
        <item x="140"/>
        <item x="248"/>
        <item x="202"/>
        <item x="203"/>
        <item x="219"/>
        <item x="211"/>
        <item x="171"/>
        <item x="172"/>
        <item x="96"/>
        <item x="249"/>
        <item x="13"/>
        <item x="97"/>
        <item x="179"/>
        <item x="45"/>
        <item x="46"/>
        <item x="65"/>
        <item x="127"/>
        <item x="66"/>
        <item x="14"/>
        <item x="204"/>
        <item x="47"/>
        <item x="3"/>
        <item x="85"/>
        <item x="98"/>
        <item x="196"/>
        <item x="212"/>
        <item x="35"/>
        <item x="141"/>
        <item x="86"/>
        <item x="15"/>
        <item x="150"/>
        <item x="16"/>
        <item x="17"/>
        <item x="57"/>
        <item x="4"/>
        <item x="166"/>
        <item x="135"/>
        <item x="48"/>
        <item x="49"/>
        <item x="50"/>
        <item x="87"/>
        <item x="215"/>
        <item x="117"/>
        <item x="224"/>
        <item x="188"/>
        <item x="58"/>
        <item x="189"/>
        <item x="239"/>
        <item x="59"/>
        <item x="122"/>
        <item x="78"/>
        <item x="240"/>
        <item x="118"/>
        <item x="79"/>
        <item x="88"/>
        <item x="119"/>
        <item x="231"/>
        <item x="173"/>
        <item x="216"/>
        <item x="225"/>
        <item x="226"/>
        <item x="80"/>
        <item x="227"/>
        <item x="220"/>
        <item x="241"/>
        <item x="18"/>
        <item x="221"/>
        <item x="60"/>
        <item x="27"/>
        <item x="242"/>
        <item x="250"/>
        <item x="19"/>
        <item x="251"/>
        <item x="20"/>
        <item x="184"/>
        <item x="185"/>
        <item x="174"/>
        <item x="24"/>
        <item x="61"/>
        <item x="100"/>
        <item x="217"/>
        <item x="101"/>
        <item x="26"/>
        <item x="93"/>
        <item x="157"/>
        <item x="158"/>
        <item x="175"/>
        <item x="89"/>
        <item x="159"/>
        <item x="90"/>
        <item x="190"/>
        <item x="191"/>
        <item x="91"/>
        <item x="5"/>
        <item x="6"/>
        <item x="7"/>
        <item x="36"/>
        <item x="94"/>
        <item x="205"/>
        <item x="206"/>
        <item x="176"/>
        <item x="37"/>
        <item x="51"/>
        <item x="38"/>
        <item x="222"/>
        <item x="223"/>
        <item x="233"/>
        <item x="234"/>
        <item x="228"/>
        <item x="21"/>
        <item x="39"/>
        <item x="128"/>
        <item x="40"/>
        <item x="142"/>
        <item x="143"/>
        <item x="102"/>
        <item x="144"/>
        <item x="145"/>
        <item x="120"/>
        <item x="207"/>
        <item x="252"/>
        <item x="197"/>
        <item x="167"/>
        <item x="164"/>
        <item x="192"/>
        <item x="193"/>
        <item x="103"/>
        <item x="104"/>
        <item x="235"/>
        <item x="168"/>
        <item x="208"/>
        <item x="151"/>
        <item x="62"/>
        <item x="180"/>
        <item x="129"/>
        <item x="243"/>
        <item x="244"/>
        <item x="245"/>
        <item x="130"/>
        <item x="52"/>
        <item x="53"/>
        <item x="54"/>
        <item t="default"/>
      </items>
    </pivotField>
    <pivotField axis="axisRow" showAll="0" sortType="ascending">
      <items count="3">
        <item x="1"/>
        <item x="0"/>
        <item t="default"/>
      </items>
      <autoSortScope>
        <pivotArea dataOnly="0" outline="0" fieldPosition="0">
          <references count="1">
            <reference field="4294967294" count="1" selected="0">
              <x v="0"/>
            </reference>
          </references>
        </pivotArea>
      </autoSortScope>
    </pivotField>
    <pivotField dataField="1" showAll="0"/>
    <pivotField showAll="0">
      <items count="31">
        <item x="13"/>
        <item x="8"/>
        <item x="9"/>
        <item x="29"/>
        <item x="19"/>
        <item x="17"/>
        <item x="11"/>
        <item x="22"/>
        <item x="21"/>
        <item x="2"/>
        <item x="3"/>
        <item x="23"/>
        <item x="4"/>
        <item x="28"/>
        <item x="7"/>
        <item x="10"/>
        <item x="6"/>
        <item x="26"/>
        <item x="15"/>
        <item x="1"/>
        <item x="27"/>
        <item x="18"/>
        <item x="5"/>
        <item x="24"/>
        <item x="12"/>
        <item x="16"/>
        <item x="14"/>
        <item x="0"/>
        <item x="25"/>
        <item x="20"/>
        <item t="default"/>
      </items>
    </pivotField>
    <pivotField showAll="0" sortType="descending">
      <items count="8">
        <item x="2"/>
        <item x="3"/>
        <item x="4"/>
        <item x="5"/>
        <item x="6"/>
        <item x="0"/>
        <item x="1"/>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s>
  <rowFields count="1">
    <field x="2"/>
  </rowFields>
  <rowItems count="3">
    <i>
      <x v="1"/>
    </i>
    <i>
      <x/>
    </i>
    <i t="grand">
      <x/>
    </i>
  </rowItems>
  <colItems count="1">
    <i/>
  </colItems>
  <dataFields count="1">
    <dataField name="Sum of Money" fld="3" baseField="0" baseItem="0" numFmtId="164"/>
  </dataFields>
  <formats count="1">
    <format dxfId="39">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1" format="7" series="1">
      <pivotArea type="data" outline="0" fieldPosition="0">
        <references count="1">
          <reference field="4294967294" count="1" selected="0">
            <x v="0"/>
          </reference>
        </references>
      </pivotArea>
    </chartFormat>
    <chartFormat chart="1" format="14">
      <pivotArea type="data" outline="0" fieldPosition="0">
        <references count="2">
          <reference field="4294967294" count="1" selected="0">
            <x v="0"/>
          </reference>
          <reference field="2" count="1" selected="0">
            <x v="1"/>
          </reference>
        </references>
      </pivotArea>
    </chartFormat>
    <chartFormat chart="3" format="17" series="1">
      <pivotArea type="data" outline="0" fieldPosition="0">
        <references count="1">
          <reference field="4294967294" count="1" selected="0">
            <x v="0"/>
          </reference>
        </references>
      </pivotArea>
    </chartFormat>
    <chartFormat chart="3" format="18">
      <pivotArea type="data" outline="0" fieldPosition="0">
        <references count="2">
          <reference field="4294967294" count="1" selected="0">
            <x v="0"/>
          </reference>
          <reference field="2" count="1" selected="0">
            <x v="1"/>
          </reference>
        </references>
      </pivotArea>
    </chartFormat>
    <chartFormat chart="3" format="19">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6" firstHeaderRow="1" firstDataRow="1" firstDataCol="1"/>
  <pivotFields count="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21" showAll="0">
      <items count="254">
        <item x="71"/>
        <item x="169"/>
        <item x="181"/>
        <item x="186"/>
        <item x="28"/>
        <item x="67"/>
        <item x="55"/>
        <item x="123"/>
        <item x="213"/>
        <item x="72"/>
        <item x="229"/>
        <item x="29"/>
        <item x="56"/>
        <item x="218"/>
        <item x="81"/>
        <item x="187"/>
        <item x="8"/>
        <item x="30"/>
        <item x="73"/>
        <item x="232"/>
        <item x="82"/>
        <item x="22"/>
        <item x="74"/>
        <item x="41"/>
        <item x="105"/>
        <item x="83"/>
        <item x="25"/>
        <item x="63"/>
        <item x="182"/>
        <item x="64"/>
        <item x="84"/>
        <item x="246"/>
        <item x="247"/>
        <item x="31"/>
        <item x="106"/>
        <item x="68"/>
        <item x="146"/>
        <item x="9"/>
        <item x="10"/>
        <item x="236"/>
        <item x="237"/>
        <item x="238"/>
        <item x="214"/>
        <item x="95"/>
        <item x="147"/>
        <item x="42"/>
        <item x="148"/>
        <item x="136"/>
        <item x="137"/>
        <item x="149"/>
        <item x="152"/>
        <item x="107"/>
        <item x="165"/>
        <item x="108"/>
        <item x="131"/>
        <item x="121"/>
        <item x="153"/>
        <item x="132"/>
        <item x="109"/>
        <item x="170"/>
        <item x="110"/>
        <item x="230"/>
        <item x="111"/>
        <item x="112"/>
        <item x="124"/>
        <item x="69"/>
        <item x="75"/>
        <item x="92"/>
        <item x="76"/>
        <item x="177"/>
        <item x="138"/>
        <item x="113"/>
        <item x="11"/>
        <item x="70"/>
        <item x="114"/>
        <item x="23"/>
        <item x="194"/>
        <item x="32"/>
        <item x="154"/>
        <item x="160"/>
        <item x="161"/>
        <item x="183"/>
        <item x="139"/>
        <item x="133"/>
        <item x="115"/>
        <item x="198"/>
        <item x="155"/>
        <item x="199"/>
        <item x="156"/>
        <item x="77"/>
        <item x="99"/>
        <item x="12"/>
        <item x="200"/>
        <item x="201"/>
        <item x="43"/>
        <item x="44"/>
        <item x="195"/>
        <item x="209"/>
        <item x="178"/>
        <item x="162"/>
        <item x="163"/>
        <item x="0"/>
        <item x="33"/>
        <item x="1"/>
        <item x="2"/>
        <item x="34"/>
        <item x="125"/>
        <item x="126"/>
        <item x="210"/>
        <item x="134"/>
        <item x="116"/>
        <item x="140"/>
        <item x="248"/>
        <item x="202"/>
        <item x="203"/>
        <item x="219"/>
        <item x="211"/>
        <item x="171"/>
        <item x="172"/>
        <item x="96"/>
        <item x="249"/>
        <item x="13"/>
        <item x="97"/>
        <item x="179"/>
        <item x="45"/>
        <item x="46"/>
        <item x="65"/>
        <item x="127"/>
        <item x="66"/>
        <item x="14"/>
        <item x="204"/>
        <item x="47"/>
        <item x="3"/>
        <item x="85"/>
        <item x="98"/>
        <item x="196"/>
        <item x="212"/>
        <item x="35"/>
        <item x="141"/>
        <item x="86"/>
        <item x="15"/>
        <item x="150"/>
        <item x="16"/>
        <item x="17"/>
        <item x="57"/>
        <item x="4"/>
        <item x="166"/>
        <item x="135"/>
        <item x="48"/>
        <item x="49"/>
        <item x="50"/>
        <item x="87"/>
        <item x="215"/>
        <item x="117"/>
        <item x="224"/>
        <item x="188"/>
        <item x="58"/>
        <item x="189"/>
        <item x="239"/>
        <item x="59"/>
        <item x="122"/>
        <item x="78"/>
        <item x="240"/>
        <item x="118"/>
        <item x="79"/>
        <item x="88"/>
        <item x="119"/>
        <item x="231"/>
        <item x="173"/>
        <item x="216"/>
        <item x="225"/>
        <item x="226"/>
        <item x="80"/>
        <item x="227"/>
        <item x="220"/>
        <item x="241"/>
        <item x="18"/>
        <item x="221"/>
        <item x="60"/>
        <item x="27"/>
        <item x="242"/>
        <item x="250"/>
        <item x="19"/>
        <item x="251"/>
        <item x="20"/>
        <item x="184"/>
        <item x="185"/>
        <item x="174"/>
        <item x="24"/>
        <item x="61"/>
        <item x="100"/>
        <item x="217"/>
        <item x="101"/>
        <item x="26"/>
        <item x="93"/>
        <item x="157"/>
        <item x="158"/>
        <item x="175"/>
        <item x="89"/>
        <item x="159"/>
        <item x="90"/>
        <item x="190"/>
        <item x="191"/>
        <item x="91"/>
        <item x="5"/>
        <item x="6"/>
        <item x="7"/>
        <item x="36"/>
        <item x="94"/>
        <item x="205"/>
        <item x="206"/>
        <item x="176"/>
        <item x="37"/>
        <item x="51"/>
        <item x="38"/>
        <item x="222"/>
        <item x="223"/>
        <item x="233"/>
        <item x="234"/>
        <item x="228"/>
        <item x="21"/>
        <item x="39"/>
        <item x="128"/>
        <item x="40"/>
        <item x="142"/>
        <item x="143"/>
        <item x="102"/>
        <item x="144"/>
        <item x="145"/>
        <item x="120"/>
        <item x="207"/>
        <item x="252"/>
        <item x="197"/>
        <item x="167"/>
        <item x="164"/>
        <item x="192"/>
        <item x="193"/>
        <item x="103"/>
        <item x="104"/>
        <item x="235"/>
        <item x="168"/>
        <item x="208"/>
        <item x="151"/>
        <item x="62"/>
        <item x="180"/>
        <item x="129"/>
        <item x="243"/>
        <item x="244"/>
        <item x="245"/>
        <item x="130"/>
        <item x="52"/>
        <item x="53"/>
        <item x="54"/>
        <item t="default"/>
      </items>
    </pivotField>
    <pivotField showAll="0">
      <items count="3">
        <item x="1"/>
        <item x="0"/>
        <item t="default"/>
      </items>
    </pivotField>
    <pivotField showAll="0"/>
    <pivotField dataField="1" showAll="0">
      <items count="31">
        <item x="13"/>
        <item x="8"/>
        <item x="9"/>
        <item x="29"/>
        <item x="19"/>
        <item x="17"/>
        <item x="11"/>
        <item x="22"/>
        <item x="21"/>
        <item x="2"/>
        <item x="3"/>
        <item x="23"/>
        <item x="4"/>
        <item x="28"/>
        <item x="7"/>
        <item x="10"/>
        <item x="6"/>
        <item x="26"/>
        <item x="15"/>
        <item x="1"/>
        <item x="27"/>
        <item x="18"/>
        <item x="5"/>
        <item x="24"/>
        <item x="12"/>
        <item x="16"/>
        <item x="14"/>
        <item x="0"/>
        <item x="25"/>
        <item x="20"/>
        <item t="default"/>
      </items>
    </pivotField>
    <pivotField showAll="0">
      <items count="8">
        <item x="2"/>
        <item x="3"/>
        <item x="4"/>
        <item x="5"/>
        <item x="6"/>
        <item x="0"/>
        <item x="1"/>
        <item t="default"/>
      </items>
    </pivotField>
    <pivotField axis="axisRow" showAll="0">
      <items count="3">
        <item x="0"/>
        <item x="1"/>
        <item t="default"/>
      </items>
    </pivotField>
    <pivotField showAll="0">
      <items count="15">
        <item x="0"/>
        <item x="1"/>
        <item x="2"/>
        <item x="3"/>
        <item x="4"/>
        <item x="5"/>
        <item x="6"/>
        <item x="7"/>
        <item x="8"/>
        <item x="9"/>
        <item x="10"/>
        <item x="11"/>
        <item x="12"/>
        <item x="13"/>
        <item t="default"/>
      </items>
    </pivotField>
  </pivotFields>
  <rowFields count="1">
    <field x="6"/>
  </rowFields>
  <rowItems count="3">
    <i>
      <x/>
    </i>
    <i>
      <x v="1"/>
    </i>
    <i t="grand">
      <x/>
    </i>
  </rowItems>
  <colItems count="1">
    <i/>
  </colItems>
  <dataFields count="1">
    <dataField name="Count of Coffee_name" fld="4" subtotal="count" baseField="6" baseItem="0" numFmtId="2"/>
  </dataFields>
  <formats count="1">
    <format dxfId="38">
      <pivotArea outline="0" collapsedLevelsAreSubtotals="1" fieldPosition="0"/>
    </format>
  </formats>
  <chartFormats count="1">
    <chartFormat chart="2"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3:B9" firstHeaderRow="1" firstDataRow="1" firstDataCol="1"/>
  <pivotFields count="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21" showAll="0">
      <items count="254">
        <item x="71"/>
        <item x="169"/>
        <item x="181"/>
        <item x="186"/>
        <item x="28"/>
        <item x="67"/>
        <item x="55"/>
        <item x="123"/>
        <item x="213"/>
        <item x="72"/>
        <item x="229"/>
        <item x="29"/>
        <item x="56"/>
        <item x="218"/>
        <item x="81"/>
        <item x="187"/>
        <item x="8"/>
        <item x="30"/>
        <item x="73"/>
        <item x="232"/>
        <item x="82"/>
        <item x="22"/>
        <item x="74"/>
        <item x="41"/>
        <item x="105"/>
        <item x="83"/>
        <item x="25"/>
        <item x="63"/>
        <item x="182"/>
        <item x="64"/>
        <item x="84"/>
        <item x="246"/>
        <item x="247"/>
        <item x="31"/>
        <item x="106"/>
        <item x="68"/>
        <item x="146"/>
        <item x="9"/>
        <item x="10"/>
        <item x="236"/>
        <item x="237"/>
        <item x="238"/>
        <item x="214"/>
        <item x="95"/>
        <item x="147"/>
        <item x="42"/>
        <item x="148"/>
        <item x="136"/>
        <item x="137"/>
        <item x="149"/>
        <item x="152"/>
        <item x="107"/>
        <item x="165"/>
        <item x="108"/>
        <item x="131"/>
        <item x="121"/>
        <item x="153"/>
        <item x="132"/>
        <item x="109"/>
        <item x="170"/>
        <item x="110"/>
        <item x="230"/>
        <item x="111"/>
        <item x="112"/>
        <item x="124"/>
        <item x="69"/>
        <item x="75"/>
        <item x="92"/>
        <item x="76"/>
        <item x="177"/>
        <item x="138"/>
        <item x="113"/>
        <item x="11"/>
        <item x="70"/>
        <item x="114"/>
        <item x="23"/>
        <item x="194"/>
        <item x="32"/>
        <item x="154"/>
        <item x="160"/>
        <item x="161"/>
        <item x="183"/>
        <item x="139"/>
        <item x="133"/>
        <item x="115"/>
        <item x="198"/>
        <item x="155"/>
        <item x="199"/>
        <item x="156"/>
        <item x="77"/>
        <item x="99"/>
        <item x="12"/>
        <item x="200"/>
        <item x="201"/>
        <item x="43"/>
        <item x="44"/>
        <item x="195"/>
        <item x="209"/>
        <item x="178"/>
        <item x="162"/>
        <item x="163"/>
        <item x="0"/>
        <item x="33"/>
        <item x="1"/>
        <item x="2"/>
        <item x="34"/>
        <item x="125"/>
        <item x="126"/>
        <item x="210"/>
        <item x="134"/>
        <item x="116"/>
        <item x="140"/>
        <item x="248"/>
        <item x="202"/>
        <item x="203"/>
        <item x="219"/>
        <item x="211"/>
        <item x="171"/>
        <item x="172"/>
        <item x="96"/>
        <item x="249"/>
        <item x="13"/>
        <item x="97"/>
        <item x="179"/>
        <item x="45"/>
        <item x="46"/>
        <item x="65"/>
        <item x="127"/>
        <item x="66"/>
        <item x="14"/>
        <item x="204"/>
        <item x="47"/>
        <item x="3"/>
        <item x="85"/>
        <item x="98"/>
        <item x="196"/>
        <item x="212"/>
        <item x="35"/>
        <item x="141"/>
        <item x="86"/>
        <item x="15"/>
        <item x="150"/>
        <item x="16"/>
        <item x="17"/>
        <item x="57"/>
        <item x="4"/>
        <item x="166"/>
        <item x="135"/>
        <item x="48"/>
        <item x="49"/>
        <item x="50"/>
        <item x="87"/>
        <item x="215"/>
        <item x="117"/>
        <item x="224"/>
        <item x="188"/>
        <item x="58"/>
        <item x="189"/>
        <item x="239"/>
        <item x="59"/>
        <item x="122"/>
        <item x="78"/>
        <item x="240"/>
        <item x="118"/>
        <item x="79"/>
        <item x="88"/>
        <item x="119"/>
        <item x="231"/>
        <item x="173"/>
        <item x="216"/>
        <item x="225"/>
        <item x="226"/>
        <item x="80"/>
        <item x="227"/>
        <item x="220"/>
        <item x="241"/>
        <item x="18"/>
        <item x="221"/>
        <item x="60"/>
        <item x="27"/>
        <item x="242"/>
        <item x="250"/>
        <item x="19"/>
        <item x="251"/>
        <item x="20"/>
        <item x="184"/>
        <item x="185"/>
        <item x="174"/>
        <item x="24"/>
        <item x="61"/>
        <item x="100"/>
        <item x="217"/>
        <item x="101"/>
        <item x="26"/>
        <item x="93"/>
        <item x="157"/>
        <item x="158"/>
        <item x="175"/>
        <item x="89"/>
        <item x="159"/>
        <item x="90"/>
        <item x="190"/>
        <item x="191"/>
        <item x="91"/>
        <item x="5"/>
        <item x="6"/>
        <item x="7"/>
        <item x="36"/>
        <item x="94"/>
        <item x="205"/>
        <item x="206"/>
        <item x="176"/>
        <item x="37"/>
        <item x="51"/>
        <item x="38"/>
        <item x="222"/>
        <item x="223"/>
        <item x="233"/>
        <item x="234"/>
        <item x="228"/>
        <item x="21"/>
        <item x="39"/>
        <item x="128"/>
        <item x="40"/>
        <item x="142"/>
        <item x="143"/>
        <item x="102"/>
        <item x="144"/>
        <item x="145"/>
        <item x="120"/>
        <item x="207"/>
        <item x="252"/>
        <item x="197"/>
        <item x="167"/>
        <item x="164"/>
        <item x="192"/>
        <item x="193"/>
        <item x="103"/>
        <item x="104"/>
        <item x="235"/>
        <item x="168"/>
        <item x="208"/>
        <item x="151"/>
        <item x="62"/>
        <item x="180"/>
        <item x="129"/>
        <item x="243"/>
        <item x="244"/>
        <item x="245"/>
        <item x="130"/>
        <item x="52"/>
        <item x="53"/>
        <item x="54"/>
        <item t="default"/>
      </items>
    </pivotField>
    <pivotField showAll="0"/>
    <pivotField dataField="1" showAll="0"/>
    <pivotField axis="axisRow" showAll="0" measureFilter="1" sortType="ascending">
      <items count="31">
        <item x="13"/>
        <item x="8"/>
        <item x="9"/>
        <item x="29"/>
        <item x="19"/>
        <item x="17"/>
        <item x="11"/>
        <item x="22"/>
        <item x="21"/>
        <item x="2"/>
        <item x="3"/>
        <item x="23"/>
        <item x="4"/>
        <item x="28"/>
        <item x="7"/>
        <item x="10"/>
        <item x="6"/>
        <item x="26"/>
        <item x="15"/>
        <item x="1"/>
        <item x="27"/>
        <item x="18"/>
        <item x="5"/>
        <item x="24"/>
        <item x="12"/>
        <item x="16"/>
        <item x="14"/>
        <item x="0"/>
        <item x="25"/>
        <item x="20"/>
        <item t="default"/>
      </items>
      <autoSortScope>
        <pivotArea dataOnly="0" outline="0" fieldPosition="0">
          <references count="1">
            <reference field="4294967294" count="1" selected="0">
              <x v="0"/>
            </reference>
          </references>
        </pivotArea>
      </autoSortScope>
    </pivotField>
    <pivotField showAll="0" sortType="descending">
      <items count="8">
        <item x="2"/>
        <item x="3"/>
        <item x="4"/>
        <item x="5"/>
        <item x="6"/>
        <item x="0"/>
        <item x="1"/>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v="12"/>
    </i>
    <i>
      <x v="2"/>
    </i>
    <i>
      <x v="21"/>
    </i>
    <i>
      <x v="24"/>
    </i>
    <i>
      <x v="1"/>
    </i>
    <i t="grand">
      <x/>
    </i>
  </rowItems>
  <colItems count="1">
    <i/>
  </colItems>
  <dataFields count="1">
    <dataField name="Sum of Money" fld="3" baseField="0" baseItem="0" numFmtId="164"/>
  </dataFields>
  <formats count="1">
    <format dxfId="37">
      <pivotArea outline="0" collapsedLevelsAreSubtotals="1" fieldPosition="0"/>
    </format>
  </formats>
  <chartFormats count="15">
    <chartFormat chart="0" format="0" series="1">
      <pivotArea type="data" outline="0" fieldPosition="0">
        <references count="1">
          <reference field="4294967294" count="1" selected="0">
            <x v="0"/>
          </reference>
        </references>
      </pivotArea>
    </chartFormat>
    <chartFormat chart="1" format="7" series="1">
      <pivotArea type="data" outline="0" fieldPosition="0">
        <references count="1">
          <reference field="4294967294" count="1" selected="0">
            <x v="0"/>
          </reference>
        </references>
      </pivotArea>
    </chartFormat>
    <chartFormat chart="1" format="14">
      <pivotArea type="data" outline="0" fieldPosition="0">
        <references count="2">
          <reference field="4294967294" count="1" selected="0">
            <x v="0"/>
          </reference>
          <reference field="4" count="1" selected="0">
            <x v="24"/>
          </reference>
        </references>
      </pivotArea>
    </chartFormat>
    <chartFormat chart="1" format="15">
      <pivotArea type="data" outline="0" fieldPosition="0">
        <references count="2">
          <reference field="4294967294" count="1" selected="0">
            <x v="0"/>
          </reference>
          <reference field="4" count="1" selected="0">
            <x v="21"/>
          </reference>
        </references>
      </pivotArea>
    </chartFormat>
    <chartFormat chart="1" format="16">
      <pivotArea type="data" outline="0" fieldPosition="0">
        <references count="2">
          <reference field="4294967294" count="1" selected="0">
            <x v="0"/>
          </reference>
          <reference field="4" count="1" selected="0">
            <x v="2"/>
          </reference>
        </references>
      </pivotArea>
    </chartFormat>
    <chartFormat chart="1" format="17">
      <pivotArea type="data" outline="0" fieldPosition="0">
        <references count="2">
          <reference field="4294967294" count="1" selected="0">
            <x v="0"/>
          </reference>
          <reference field="4" count="1" selected="0">
            <x v="12"/>
          </reference>
        </references>
      </pivotArea>
    </chartFormat>
    <chartFormat chart="1" format="18">
      <pivotArea type="data" outline="0" fieldPosition="0">
        <references count="2">
          <reference field="4294967294" count="1" selected="0">
            <x v="0"/>
          </reference>
          <reference field="4" count="1" selected="0">
            <x v="1"/>
          </reference>
        </references>
      </pivotArea>
    </chartFormat>
    <chartFormat chart="3" format="25" series="1">
      <pivotArea type="data" outline="0" fieldPosition="0">
        <references count="1">
          <reference field="4294967294" count="1" selected="0">
            <x v="0"/>
          </reference>
        </references>
      </pivotArea>
    </chartFormat>
    <chartFormat chart="3" format="26">
      <pivotArea type="data" outline="0" fieldPosition="0">
        <references count="2">
          <reference field="4294967294" count="1" selected="0">
            <x v="0"/>
          </reference>
          <reference field="4" count="1" selected="0">
            <x v="1"/>
          </reference>
        </references>
      </pivotArea>
    </chartFormat>
    <chartFormat chart="3" format="27">
      <pivotArea type="data" outline="0" fieldPosition="0">
        <references count="2">
          <reference field="4294967294" count="1" selected="0">
            <x v="0"/>
          </reference>
          <reference field="4" count="1" selected="0">
            <x v="24"/>
          </reference>
        </references>
      </pivotArea>
    </chartFormat>
    <chartFormat chart="3" format="28">
      <pivotArea type="data" outline="0" fieldPosition="0">
        <references count="2">
          <reference field="4294967294" count="1" selected="0">
            <x v="0"/>
          </reference>
          <reference field="4" count="1" selected="0">
            <x v="21"/>
          </reference>
        </references>
      </pivotArea>
    </chartFormat>
    <chartFormat chart="3" format="29">
      <pivotArea type="data" outline="0" fieldPosition="0">
        <references count="2">
          <reference field="4294967294" count="1" selected="0">
            <x v="0"/>
          </reference>
          <reference field="4" count="1" selected="0">
            <x v="2"/>
          </reference>
        </references>
      </pivotArea>
    </chartFormat>
    <chartFormat chart="3" format="30">
      <pivotArea type="data" outline="0" fieldPosition="0">
        <references count="2">
          <reference field="4294967294" count="1" selected="0">
            <x v="0"/>
          </reference>
          <reference field="4" count="1" selected="0">
            <x v="12"/>
          </reference>
        </references>
      </pivotArea>
    </chartFormat>
    <chartFormat chart="1" format="19">
      <pivotArea type="data" outline="0" fieldPosition="0">
        <references count="2">
          <reference field="4294967294" count="1" selected="0">
            <x v="0"/>
          </reference>
          <reference field="4" count="1" selected="0">
            <x v="0"/>
          </reference>
        </references>
      </pivotArea>
    </chartFormat>
    <chartFormat chart="1" format="20">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filters count="1">
    <filter fld="4"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34" firstHeaderRow="1" firstDataRow="1" firstDataCol="1"/>
  <pivotFields count="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21" showAll="0">
      <items count="254">
        <item x="71"/>
        <item x="169"/>
        <item x="181"/>
        <item x="186"/>
        <item x="28"/>
        <item x="67"/>
        <item x="55"/>
        <item x="123"/>
        <item x="213"/>
        <item x="72"/>
        <item x="229"/>
        <item x="29"/>
        <item x="56"/>
        <item x="218"/>
        <item x="81"/>
        <item x="187"/>
        <item x="8"/>
        <item x="30"/>
        <item x="73"/>
        <item x="232"/>
        <item x="82"/>
        <item x="22"/>
        <item x="74"/>
        <item x="41"/>
        <item x="105"/>
        <item x="83"/>
        <item x="25"/>
        <item x="63"/>
        <item x="182"/>
        <item x="64"/>
        <item x="84"/>
        <item x="246"/>
        <item x="247"/>
        <item x="31"/>
        <item x="106"/>
        <item x="68"/>
        <item x="146"/>
        <item x="9"/>
        <item x="10"/>
        <item x="236"/>
        <item x="237"/>
        <item x="238"/>
        <item x="214"/>
        <item x="95"/>
        <item x="147"/>
        <item x="42"/>
        <item x="148"/>
        <item x="136"/>
        <item x="137"/>
        <item x="149"/>
        <item x="152"/>
        <item x="107"/>
        <item x="165"/>
        <item x="108"/>
        <item x="131"/>
        <item x="121"/>
        <item x="153"/>
        <item x="132"/>
        <item x="109"/>
        <item x="170"/>
        <item x="110"/>
        <item x="230"/>
        <item x="111"/>
        <item x="112"/>
        <item x="124"/>
        <item x="69"/>
        <item x="75"/>
        <item x="92"/>
        <item x="76"/>
        <item x="177"/>
        <item x="138"/>
        <item x="113"/>
        <item x="11"/>
        <item x="70"/>
        <item x="114"/>
        <item x="23"/>
        <item x="194"/>
        <item x="32"/>
        <item x="154"/>
        <item x="160"/>
        <item x="161"/>
        <item x="183"/>
        <item x="139"/>
        <item x="133"/>
        <item x="115"/>
        <item x="198"/>
        <item x="155"/>
        <item x="199"/>
        <item x="156"/>
        <item x="77"/>
        <item x="99"/>
        <item x="12"/>
        <item x="200"/>
        <item x="201"/>
        <item x="43"/>
        <item x="44"/>
        <item x="195"/>
        <item x="209"/>
        <item x="178"/>
        <item x="162"/>
        <item x="163"/>
        <item x="0"/>
        <item x="33"/>
        <item x="1"/>
        <item x="2"/>
        <item x="34"/>
        <item x="125"/>
        <item x="126"/>
        <item x="210"/>
        <item x="134"/>
        <item x="116"/>
        <item x="140"/>
        <item x="248"/>
        <item x="202"/>
        <item x="203"/>
        <item x="219"/>
        <item x="211"/>
        <item x="171"/>
        <item x="172"/>
        <item x="96"/>
        <item x="249"/>
        <item x="13"/>
        <item x="97"/>
        <item x="179"/>
        <item x="45"/>
        <item x="46"/>
        <item x="65"/>
        <item x="127"/>
        <item x="66"/>
        <item x="14"/>
        <item x="204"/>
        <item x="47"/>
        <item x="3"/>
        <item x="85"/>
        <item x="98"/>
        <item x="196"/>
        <item x="212"/>
        <item x="35"/>
        <item x="141"/>
        <item x="86"/>
        <item x="15"/>
        <item x="150"/>
        <item x="16"/>
        <item x="17"/>
        <item x="57"/>
        <item x="4"/>
        <item x="166"/>
        <item x="135"/>
        <item x="48"/>
        <item x="49"/>
        <item x="50"/>
        <item x="87"/>
        <item x="215"/>
        <item x="117"/>
        <item x="224"/>
        <item x="188"/>
        <item x="58"/>
        <item x="189"/>
        <item x="239"/>
        <item x="59"/>
        <item x="122"/>
        <item x="78"/>
        <item x="240"/>
        <item x="118"/>
        <item x="79"/>
        <item x="88"/>
        <item x="119"/>
        <item x="231"/>
        <item x="173"/>
        <item x="216"/>
        <item x="225"/>
        <item x="226"/>
        <item x="80"/>
        <item x="227"/>
        <item x="220"/>
        <item x="241"/>
        <item x="18"/>
        <item x="221"/>
        <item x="60"/>
        <item x="27"/>
        <item x="242"/>
        <item x="250"/>
        <item x="19"/>
        <item x="251"/>
        <item x="20"/>
        <item x="184"/>
        <item x="185"/>
        <item x="174"/>
        <item x="24"/>
        <item x="61"/>
        <item x="100"/>
        <item x="217"/>
        <item x="101"/>
        <item x="26"/>
        <item x="93"/>
        <item x="157"/>
        <item x="158"/>
        <item x="175"/>
        <item x="89"/>
        <item x="159"/>
        <item x="90"/>
        <item x="190"/>
        <item x="191"/>
        <item x="91"/>
        <item x="5"/>
        <item x="6"/>
        <item x="7"/>
        <item x="36"/>
        <item x="94"/>
        <item x="205"/>
        <item x="206"/>
        <item x="176"/>
        <item x="37"/>
        <item x="51"/>
        <item x="38"/>
        <item x="222"/>
        <item x="223"/>
        <item x="233"/>
        <item x="234"/>
        <item x="228"/>
        <item x="21"/>
        <item x="39"/>
        <item x="128"/>
        <item x="40"/>
        <item x="142"/>
        <item x="143"/>
        <item x="102"/>
        <item x="144"/>
        <item x="145"/>
        <item x="120"/>
        <item x="207"/>
        <item x="252"/>
        <item x="197"/>
        <item x="167"/>
        <item x="164"/>
        <item x="192"/>
        <item x="193"/>
        <item x="103"/>
        <item x="104"/>
        <item x="235"/>
        <item x="168"/>
        <item x="208"/>
        <item x="151"/>
        <item x="62"/>
        <item x="180"/>
        <item x="129"/>
        <item x="243"/>
        <item x="244"/>
        <item x="245"/>
        <item x="130"/>
        <item x="52"/>
        <item x="53"/>
        <item x="54"/>
        <item t="default"/>
      </items>
    </pivotField>
    <pivotField showAll="0"/>
    <pivotField showAll="0"/>
    <pivotField axis="axisRow" dataField="1" showAll="0" sortType="descending">
      <items count="31">
        <item x="13"/>
        <item x="8"/>
        <item x="9"/>
        <item x="29"/>
        <item x="19"/>
        <item x="17"/>
        <item x="11"/>
        <item x="22"/>
        <item x="21"/>
        <item x="2"/>
        <item x="3"/>
        <item x="23"/>
        <item x="4"/>
        <item x="28"/>
        <item x="7"/>
        <item x="10"/>
        <item x="6"/>
        <item x="26"/>
        <item x="15"/>
        <item x="1"/>
        <item x="27"/>
        <item x="18"/>
        <item x="5"/>
        <item x="24"/>
        <item x="12"/>
        <item x="16"/>
        <item x="14"/>
        <item x="0"/>
        <item x="25"/>
        <item x="20"/>
        <item t="default"/>
      </items>
      <autoSortScope>
        <pivotArea dataOnly="0" outline="0" fieldPosition="0">
          <references count="1">
            <reference field="4294967294" count="1" selected="0">
              <x v="0"/>
            </reference>
          </references>
        </pivotArea>
      </autoSortScope>
    </pivotField>
    <pivotField showAll="0">
      <items count="8">
        <item x="2"/>
        <item x="3"/>
        <item x="4"/>
        <item x="5"/>
        <item x="6"/>
        <item x="0"/>
        <item x="1"/>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s>
  <rowFields count="1">
    <field x="4"/>
  </rowFields>
  <rowItems count="31">
    <i>
      <x v="1"/>
    </i>
    <i>
      <x v="24"/>
    </i>
    <i>
      <x v="21"/>
    </i>
    <i>
      <x v="19"/>
    </i>
    <i>
      <x v="27"/>
    </i>
    <i>
      <x v="2"/>
    </i>
    <i>
      <x v="12"/>
    </i>
    <i>
      <x v="22"/>
    </i>
    <i>
      <x/>
    </i>
    <i>
      <x v="10"/>
    </i>
    <i>
      <x v="16"/>
    </i>
    <i>
      <x v="6"/>
    </i>
    <i>
      <x v="26"/>
    </i>
    <i>
      <x v="23"/>
    </i>
    <i>
      <x v="25"/>
    </i>
    <i>
      <x v="9"/>
    </i>
    <i>
      <x v="5"/>
    </i>
    <i>
      <x v="7"/>
    </i>
    <i>
      <x v="29"/>
    </i>
    <i>
      <x v="4"/>
    </i>
    <i>
      <x v="15"/>
    </i>
    <i>
      <x v="18"/>
    </i>
    <i>
      <x v="17"/>
    </i>
    <i>
      <x v="8"/>
    </i>
    <i>
      <x v="13"/>
    </i>
    <i>
      <x v="11"/>
    </i>
    <i>
      <x v="28"/>
    </i>
    <i>
      <x v="3"/>
    </i>
    <i>
      <x v="20"/>
    </i>
    <i>
      <x v="14"/>
    </i>
    <i t="grand">
      <x/>
    </i>
  </rowItems>
  <colItems count="1">
    <i/>
  </colItems>
  <dataFields count="1">
    <dataField name="Count of Coffee_name" fld="4" subtotal="count" baseField="4" baseItem="0" numFmtId="1"/>
  </dataFields>
  <formats count="2">
    <format dxfId="36">
      <pivotArea outline="0" collapsedLevelsAreSubtotals="1" fieldPosition="0"/>
    </format>
    <format dxfId="35">
      <pivotArea outline="0" fieldPosition="0">
        <references count="1">
          <reference field="4294967294" count="1">
            <x v="0"/>
          </reference>
        </references>
      </pivotArea>
    </format>
  </formats>
  <chartFormats count="31">
    <chartFormat chart="2" format="25" series="1">
      <pivotArea type="data" outline="0" fieldPosition="0">
        <references count="1">
          <reference field="4294967294" count="1" selected="0">
            <x v="0"/>
          </reference>
        </references>
      </pivotArea>
    </chartFormat>
    <chartFormat chart="2" format="26">
      <pivotArea type="data" outline="0" fieldPosition="0">
        <references count="2">
          <reference field="4294967294" count="1" selected="0">
            <x v="0"/>
          </reference>
          <reference field="4" count="1" selected="0">
            <x v="1"/>
          </reference>
        </references>
      </pivotArea>
    </chartFormat>
    <chartFormat chart="2" format="27">
      <pivotArea type="data" outline="0" fieldPosition="0">
        <references count="2">
          <reference field="4294967294" count="1" selected="0">
            <x v="0"/>
          </reference>
          <reference field="4" count="1" selected="0">
            <x v="24"/>
          </reference>
        </references>
      </pivotArea>
    </chartFormat>
    <chartFormat chart="2" format="28">
      <pivotArea type="data" outline="0" fieldPosition="0">
        <references count="2">
          <reference field="4294967294" count="1" selected="0">
            <x v="0"/>
          </reference>
          <reference field="4" count="1" selected="0">
            <x v="21"/>
          </reference>
        </references>
      </pivotArea>
    </chartFormat>
    <chartFormat chart="2" format="29">
      <pivotArea type="data" outline="0" fieldPosition="0">
        <references count="2">
          <reference field="4294967294" count="1" selected="0">
            <x v="0"/>
          </reference>
          <reference field="4" count="1" selected="0">
            <x v="19"/>
          </reference>
        </references>
      </pivotArea>
    </chartFormat>
    <chartFormat chart="2" format="30">
      <pivotArea type="data" outline="0" fieldPosition="0">
        <references count="2">
          <reference field="4294967294" count="1" selected="0">
            <x v="0"/>
          </reference>
          <reference field="4" count="1" selected="0">
            <x v="12"/>
          </reference>
        </references>
      </pivotArea>
    </chartFormat>
    <chartFormat chart="2" format="31">
      <pivotArea type="data" outline="0" fieldPosition="0">
        <references count="2">
          <reference field="4294967294" count="1" selected="0">
            <x v="0"/>
          </reference>
          <reference field="4" count="1" selected="0">
            <x v="27"/>
          </reference>
        </references>
      </pivotArea>
    </chartFormat>
    <chartFormat chart="2" format="32">
      <pivotArea type="data" outline="0" fieldPosition="0">
        <references count="2">
          <reference field="4294967294" count="1" selected="0">
            <x v="0"/>
          </reference>
          <reference field="4" count="1" selected="0">
            <x v="2"/>
          </reference>
        </references>
      </pivotArea>
    </chartFormat>
    <chartFormat chart="2" format="79">
      <pivotArea type="data" outline="0" fieldPosition="0">
        <references count="2">
          <reference field="4294967294" count="1" selected="0">
            <x v="0"/>
          </reference>
          <reference field="4" count="1" selected="0">
            <x v="6"/>
          </reference>
        </references>
      </pivotArea>
    </chartFormat>
    <chartFormat chart="2" format="80">
      <pivotArea type="data" outline="0" fieldPosition="0">
        <references count="2">
          <reference field="4294967294" count="1" selected="0">
            <x v="0"/>
          </reference>
          <reference field="4" count="1" selected="0">
            <x v="0"/>
          </reference>
        </references>
      </pivotArea>
    </chartFormat>
    <chartFormat chart="2" format="81">
      <pivotArea type="data" outline="0" fieldPosition="0">
        <references count="2">
          <reference field="4294967294" count="1" selected="0">
            <x v="0"/>
          </reference>
          <reference field="4" count="1" selected="0">
            <x v="22"/>
          </reference>
        </references>
      </pivotArea>
    </chartFormat>
    <chartFormat chart="2" format="82">
      <pivotArea type="data" outline="0" fieldPosition="0">
        <references count="2">
          <reference field="4294967294" count="1" selected="0">
            <x v="0"/>
          </reference>
          <reference field="4" count="1" selected="0">
            <x v="7"/>
          </reference>
        </references>
      </pivotArea>
    </chartFormat>
    <chartFormat chart="2" format="83">
      <pivotArea type="data" outline="0" fieldPosition="0">
        <references count="2">
          <reference field="4294967294" count="1" selected="0">
            <x v="0"/>
          </reference>
          <reference field="4" count="1" selected="0">
            <x v="10"/>
          </reference>
        </references>
      </pivotArea>
    </chartFormat>
    <chartFormat chart="2" format="84">
      <pivotArea type="data" outline="0" fieldPosition="0">
        <references count="2">
          <reference field="4294967294" count="1" selected="0">
            <x v="0"/>
          </reference>
          <reference field="4" count="1" selected="0">
            <x v="23"/>
          </reference>
        </references>
      </pivotArea>
    </chartFormat>
    <chartFormat chart="2" format="85">
      <pivotArea type="data" outline="0" fieldPosition="0">
        <references count="2">
          <reference field="4294967294" count="1" selected="0">
            <x v="0"/>
          </reference>
          <reference field="4" count="1" selected="0">
            <x v="16"/>
          </reference>
        </references>
      </pivotArea>
    </chartFormat>
    <chartFormat chart="2" format="86">
      <pivotArea type="data" outline="0" fieldPosition="0">
        <references count="2">
          <reference field="4294967294" count="1" selected="0">
            <x v="0"/>
          </reference>
          <reference field="4" count="1" selected="0">
            <x v="26"/>
          </reference>
        </references>
      </pivotArea>
    </chartFormat>
    <chartFormat chart="2" format="87">
      <pivotArea type="data" outline="0" fieldPosition="0">
        <references count="2">
          <reference field="4294967294" count="1" selected="0">
            <x v="0"/>
          </reference>
          <reference field="4" count="1" selected="0">
            <x v="25"/>
          </reference>
        </references>
      </pivotArea>
    </chartFormat>
    <chartFormat chart="2" format="88">
      <pivotArea type="data" outline="0" fieldPosition="0">
        <references count="2">
          <reference field="4294967294" count="1" selected="0">
            <x v="0"/>
          </reference>
          <reference field="4" count="1" selected="0">
            <x v="9"/>
          </reference>
        </references>
      </pivotArea>
    </chartFormat>
    <chartFormat chart="2" format="89">
      <pivotArea type="data" outline="0" fieldPosition="0">
        <references count="2">
          <reference field="4294967294" count="1" selected="0">
            <x v="0"/>
          </reference>
          <reference field="4" count="1" selected="0">
            <x v="5"/>
          </reference>
        </references>
      </pivotArea>
    </chartFormat>
    <chartFormat chart="2" format="90">
      <pivotArea type="data" outline="0" fieldPosition="0">
        <references count="2">
          <reference field="4294967294" count="1" selected="0">
            <x v="0"/>
          </reference>
          <reference field="4" count="1" selected="0">
            <x v="29"/>
          </reference>
        </references>
      </pivotArea>
    </chartFormat>
    <chartFormat chart="2" format="91">
      <pivotArea type="data" outline="0" fieldPosition="0">
        <references count="2">
          <reference field="4294967294" count="1" selected="0">
            <x v="0"/>
          </reference>
          <reference field="4" count="1" selected="0">
            <x v="4"/>
          </reference>
        </references>
      </pivotArea>
    </chartFormat>
    <chartFormat chart="2" format="92">
      <pivotArea type="data" outline="0" fieldPosition="0">
        <references count="2">
          <reference field="4294967294" count="1" selected="0">
            <x v="0"/>
          </reference>
          <reference field="4" count="1" selected="0">
            <x v="15"/>
          </reference>
        </references>
      </pivotArea>
    </chartFormat>
    <chartFormat chart="2" format="93">
      <pivotArea type="data" outline="0" fieldPosition="0">
        <references count="2">
          <reference field="4294967294" count="1" selected="0">
            <x v="0"/>
          </reference>
          <reference field="4" count="1" selected="0">
            <x v="18"/>
          </reference>
        </references>
      </pivotArea>
    </chartFormat>
    <chartFormat chart="2" format="94">
      <pivotArea type="data" outline="0" fieldPosition="0">
        <references count="2">
          <reference field="4294967294" count="1" selected="0">
            <x v="0"/>
          </reference>
          <reference field="4" count="1" selected="0">
            <x v="17"/>
          </reference>
        </references>
      </pivotArea>
    </chartFormat>
    <chartFormat chart="2" format="95">
      <pivotArea type="data" outline="0" fieldPosition="0">
        <references count="2">
          <reference field="4294967294" count="1" selected="0">
            <x v="0"/>
          </reference>
          <reference field="4" count="1" selected="0">
            <x v="8"/>
          </reference>
        </references>
      </pivotArea>
    </chartFormat>
    <chartFormat chart="2" format="96">
      <pivotArea type="data" outline="0" fieldPosition="0">
        <references count="2">
          <reference field="4294967294" count="1" selected="0">
            <x v="0"/>
          </reference>
          <reference field="4" count="1" selected="0">
            <x v="13"/>
          </reference>
        </references>
      </pivotArea>
    </chartFormat>
    <chartFormat chart="2" format="97">
      <pivotArea type="data" outline="0" fieldPosition="0">
        <references count="2">
          <reference field="4294967294" count="1" selected="0">
            <x v="0"/>
          </reference>
          <reference field="4" count="1" selected="0">
            <x v="11"/>
          </reference>
        </references>
      </pivotArea>
    </chartFormat>
    <chartFormat chart="2" format="98">
      <pivotArea type="data" outline="0" fieldPosition="0">
        <references count="2">
          <reference field="4294967294" count="1" selected="0">
            <x v="0"/>
          </reference>
          <reference field="4" count="1" selected="0">
            <x v="28"/>
          </reference>
        </references>
      </pivotArea>
    </chartFormat>
    <chartFormat chart="2" format="99">
      <pivotArea type="data" outline="0" fieldPosition="0">
        <references count="2">
          <reference field="4294967294" count="1" selected="0">
            <x v="0"/>
          </reference>
          <reference field="4" count="1" selected="0">
            <x v="3"/>
          </reference>
        </references>
      </pivotArea>
    </chartFormat>
    <chartFormat chart="2" format="100">
      <pivotArea type="data" outline="0" fieldPosition="0">
        <references count="2">
          <reference field="4294967294" count="1" selected="0">
            <x v="0"/>
          </reference>
          <reference field="4" count="1" selected="0">
            <x v="20"/>
          </reference>
        </references>
      </pivotArea>
    </chartFormat>
    <chartFormat chart="2" format="101">
      <pivotArea type="data" outline="0" fieldPosition="0">
        <references count="2">
          <reference field="4294967294" count="1" selected="0">
            <x v="0"/>
          </reference>
          <reference field="4"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B6" firstHeaderRow="1" firstDataRow="1" firstDataCol="1"/>
  <pivotFields count="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21" showAll="0">
      <items count="254">
        <item x="71"/>
        <item x="169"/>
        <item x="181"/>
        <item x="186"/>
        <item x="28"/>
        <item x="67"/>
        <item x="55"/>
        <item x="123"/>
        <item x="213"/>
        <item x="72"/>
        <item x="229"/>
        <item x="29"/>
        <item x="56"/>
        <item x="218"/>
        <item x="81"/>
        <item x="187"/>
        <item x="8"/>
        <item x="30"/>
        <item x="73"/>
        <item x="232"/>
        <item x="82"/>
        <item x="22"/>
        <item x="74"/>
        <item x="41"/>
        <item x="105"/>
        <item x="83"/>
        <item x="25"/>
        <item x="63"/>
        <item x="182"/>
        <item x="64"/>
        <item x="84"/>
        <item x="246"/>
        <item x="247"/>
        <item x="31"/>
        <item x="106"/>
        <item x="68"/>
        <item x="146"/>
        <item x="9"/>
        <item x="10"/>
        <item x="236"/>
        <item x="237"/>
        <item x="238"/>
        <item x="214"/>
        <item x="95"/>
        <item x="147"/>
        <item x="42"/>
        <item x="148"/>
        <item x="136"/>
        <item x="137"/>
        <item x="149"/>
        <item x="152"/>
        <item x="107"/>
        <item x="165"/>
        <item x="108"/>
        <item x="131"/>
        <item x="121"/>
        <item x="153"/>
        <item x="132"/>
        <item x="109"/>
        <item x="170"/>
        <item x="110"/>
        <item x="230"/>
        <item x="111"/>
        <item x="112"/>
        <item x="124"/>
        <item x="69"/>
        <item x="75"/>
        <item x="92"/>
        <item x="76"/>
        <item x="177"/>
        <item x="138"/>
        <item x="113"/>
        <item x="11"/>
        <item x="70"/>
        <item x="114"/>
        <item x="23"/>
        <item x="194"/>
        <item x="32"/>
        <item x="154"/>
        <item x="160"/>
        <item x="161"/>
        <item x="183"/>
        <item x="139"/>
        <item x="133"/>
        <item x="115"/>
        <item x="198"/>
        <item x="155"/>
        <item x="199"/>
        <item x="156"/>
        <item x="77"/>
        <item x="99"/>
        <item x="12"/>
        <item x="200"/>
        <item x="201"/>
        <item x="43"/>
        <item x="44"/>
        <item x="195"/>
        <item x="209"/>
        <item x="178"/>
        <item x="162"/>
        <item x="163"/>
        <item x="0"/>
        <item x="33"/>
        <item x="1"/>
        <item x="2"/>
        <item x="34"/>
        <item x="125"/>
        <item x="126"/>
        <item x="210"/>
        <item x="134"/>
        <item x="116"/>
        <item x="140"/>
        <item x="248"/>
        <item x="202"/>
        <item x="203"/>
        <item x="219"/>
        <item x="211"/>
        <item x="171"/>
        <item x="172"/>
        <item x="96"/>
        <item x="249"/>
        <item x="13"/>
        <item x="97"/>
        <item x="179"/>
        <item x="45"/>
        <item x="46"/>
        <item x="65"/>
        <item x="127"/>
        <item x="66"/>
        <item x="14"/>
        <item x="204"/>
        <item x="47"/>
        <item x="3"/>
        <item x="85"/>
        <item x="98"/>
        <item x="196"/>
        <item x="212"/>
        <item x="35"/>
        <item x="141"/>
        <item x="86"/>
        <item x="15"/>
        <item x="150"/>
        <item x="16"/>
        <item x="17"/>
        <item x="57"/>
        <item x="4"/>
        <item x="166"/>
        <item x="135"/>
        <item x="48"/>
        <item x="49"/>
        <item x="50"/>
        <item x="87"/>
        <item x="215"/>
        <item x="117"/>
        <item x="224"/>
        <item x="188"/>
        <item x="58"/>
        <item x="189"/>
        <item x="239"/>
        <item x="59"/>
        <item x="122"/>
        <item x="78"/>
        <item x="240"/>
        <item x="118"/>
        <item x="79"/>
        <item x="88"/>
        <item x="119"/>
        <item x="231"/>
        <item x="173"/>
        <item x="216"/>
        <item x="225"/>
        <item x="226"/>
        <item x="80"/>
        <item x="227"/>
        <item x="220"/>
        <item x="241"/>
        <item x="18"/>
        <item x="221"/>
        <item x="60"/>
        <item x="27"/>
        <item x="242"/>
        <item x="250"/>
        <item x="19"/>
        <item x="251"/>
        <item x="20"/>
        <item x="184"/>
        <item x="185"/>
        <item x="174"/>
        <item x="24"/>
        <item x="61"/>
        <item x="100"/>
        <item x="217"/>
        <item x="101"/>
        <item x="26"/>
        <item x="93"/>
        <item x="157"/>
        <item x="158"/>
        <item x="175"/>
        <item x="89"/>
        <item x="159"/>
        <item x="90"/>
        <item x="190"/>
        <item x="191"/>
        <item x="91"/>
        <item x="5"/>
        <item x="6"/>
        <item x="7"/>
        <item x="36"/>
        <item x="94"/>
        <item x="205"/>
        <item x="206"/>
        <item x="176"/>
        <item x="37"/>
        <item x="51"/>
        <item x="38"/>
        <item x="222"/>
        <item x="223"/>
        <item x="233"/>
        <item x="234"/>
        <item x="228"/>
        <item x="21"/>
        <item x="39"/>
        <item x="128"/>
        <item x="40"/>
        <item x="142"/>
        <item x="143"/>
        <item x="102"/>
        <item x="144"/>
        <item x="145"/>
        <item x="120"/>
        <item x="207"/>
        <item x="252"/>
        <item x="197"/>
        <item x="167"/>
        <item x="164"/>
        <item x="192"/>
        <item x="193"/>
        <item x="103"/>
        <item x="104"/>
        <item x="235"/>
        <item x="168"/>
        <item x="208"/>
        <item x="151"/>
        <item x="62"/>
        <item x="180"/>
        <item x="129"/>
        <item x="243"/>
        <item x="244"/>
        <item x="245"/>
        <item x="130"/>
        <item x="52"/>
        <item x="53"/>
        <item x="54"/>
        <item t="default"/>
      </items>
    </pivotField>
    <pivotField showAll="0"/>
    <pivotField dataField="1" showAll="0"/>
    <pivotField showAll="0">
      <items count="31">
        <item x="13"/>
        <item x="8"/>
        <item x="9"/>
        <item x="29"/>
        <item x="19"/>
        <item x="17"/>
        <item x="11"/>
        <item x="22"/>
        <item x="21"/>
        <item x="2"/>
        <item x="3"/>
        <item x="23"/>
        <item x="4"/>
        <item x="28"/>
        <item x="7"/>
        <item x="10"/>
        <item x="6"/>
        <item x="26"/>
        <item x="15"/>
        <item x="1"/>
        <item x="27"/>
        <item x="18"/>
        <item x="5"/>
        <item x="24"/>
        <item x="12"/>
        <item x="16"/>
        <item x="14"/>
        <item x="0"/>
        <item x="25"/>
        <item x="20"/>
        <item t="default"/>
      </items>
    </pivotField>
    <pivotField showAll="0">
      <items count="8">
        <item x="2"/>
        <item x="3"/>
        <item x="4"/>
        <item x="5"/>
        <item x="6"/>
        <item x="0"/>
        <item x="1"/>
        <item t="default"/>
      </items>
    </pivotField>
    <pivotField axis="axisRow" showAll="0">
      <items count="3">
        <item x="0"/>
        <item x="1"/>
        <item t="default"/>
      </items>
    </pivotField>
    <pivotField showAll="0">
      <items count="15">
        <item x="0"/>
        <item x="1"/>
        <item x="2"/>
        <item x="3"/>
        <item x="4"/>
        <item x="5"/>
        <item x="6"/>
        <item x="7"/>
        <item x="8"/>
        <item x="9"/>
        <item x="10"/>
        <item x="11"/>
        <item x="12"/>
        <item x="13"/>
        <item t="default"/>
      </items>
    </pivotField>
  </pivotFields>
  <rowFields count="1">
    <field x="6"/>
  </rowFields>
  <rowItems count="3">
    <i>
      <x/>
    </i>
    <i>
      <x v="1"/>
    </i>
    <i t="grand">
      <x/>
    </i>
  </rowItems>
  <colItems count="1">
    <i/>
  </colItems>
  <dataFields count="1">
    <dataField name="Sum of Money" fld="3" showDataAs="percentOfTotal" baseField="0" baseItem="0" numFmtId="10"/>
  </dataFields>
  <formats count="2">
    <format dxfId="34">
      <pivotArea outline="0" collapsedLevelsAreSubtotals="1" fieldPosition="0"/>
    </format>
    <format dxfId="33">
      <pivotArea outline="0" fieldPosition="0">
        <references count="1">
          <reference field="4294967294" count="1">
            <x v="0"/>
          </reference>
        </references>
      </pivotArea>
    </format>
  </formats>
  <chartFormats count="6">
    <chartFormat chart="3" format="34" series="1">
      <pivotArea type="data" outline="0" fieldPosition="0">
        <references count="1">
          <reference field="4294967294" count="1" selected="0">
            <x v="0"/>
          </reference>
        </references>
      </pivotArea>
    </chartFormat>
    <chartFormat chart="3" format="35">
      <pivotArea type="data" outline="0" fieldPosition="0">
        <references count="2">
          <reference field="4294967294" count="1" selected="0">
            <x v="0"/>
          </reference>
          <reference field="6" count="1" selected="0">
            <x v="0"/>
          </reference>
        </references>
      </pivotArea>
    </chartFormat>
    <chartFormat chart="3" format="36">
      <pivotArea type="data" outline="0" fieldPosition="0">
        <references count="2">
          <reference field="4294967294" count="1" selected="0">
            <x v="0"/>
          </reference>
          <reference field="6" count="1" selected="0">
            <x v="1"/>
          </reference>
        </references>
      </pivotArea>
    </chartFormat>
    <chartFormat chart="5" format="40" series="1">
      <pivotArea type="data" outline="0" fieldPosition="0">
        <references count="1">
          <reference field="4294967294" count="1" selected="0">
            <x v="0"/>
          </reference>
        </references>
      </pivotArea>
    </chartFormat>
    <chartFormat chart="5" format="41">
      <pivotArea type="data" outline="0" fieldPosition="0">
        <references count="2">
          <reference field="4294967294" count="1" selected="0">
            <x v="0"/>
          </reference>
          <reference field="6" count="1" selected="0">
            <x v="0"/>
          </reference>
        </references>
      </pivotArea>
    </chartFormat>
    <chartFormat chart="5" format="42">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10" firstHeaderRow="1" firstDataRow="1" firstDataCol="1"/>
  <pivotFields count="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numFmtId="21" showAll="0" measureFilter="1" sortType="descending">
      <items count="254">
        <item x="71"/>
        <item x="169"/>
        <item x="181"/>
        <item x="186"/>
        <item x="28"/>
        <item x="67"/>
        <item x="55"/>
        <item x="123"/>
        <item x="213"/>
        <item x="72"/>
        <item x="229"/>
        <item x="29"/>
        <item x="56"/>
        <item x="218"/>
        <item x="81"/>
        <item x="187"/>
        <item x="8"/>
        <item x="30"/>
        <item x="73"/>
        <item x="232"/>
        <item x="82"/>
        <item x="22"/>
        <item x="74"/>
        <item x="41"/>
        <item x="105"/>
        <item x="83"/>
        <item x="25"/>
        <item x="63"/>
        <item x="182"/>
        <item x="64"/>
        <item x="84"/>
        <item x="246"/>
        <item x="247"/>
        <item x="31"/>
        <item x="106"/>
        <item x="68"/>
        <item x="146"/>
        <item x="9"/>
        <item x="10"/>
        <item x="236"/>
        <item x="237"/>
        <item x="238"/>
        <item x="214"/>
        <item x="95"/>
        <item x="147"/>
        <item x="42"/>
        <item x="148"/>
        <item x="136"/>
        <item x="137"/>
        <item x="149"/>
        <item x="152"/>
        <item x="107"/>
        <item x="165"/>
        <item x="108"/>
        <item x="131"/>
        <item x="121"/>
        <item x="153"/>
        <item x="132"/>
        <item x="109"/>
        <item x="170"/>
        <item x="110"/>
        <item x="230"/>
        <item x="111"/>
        <item x="112"/>
        <item x="124"/>
        <item x="69"/>
        <item x="75"/>
        <item x="92"/>
        <item x="76"/>
        <item x="177"/>
        <item x="138"/>
        <item x="113"/>
        <item x="11"/>
        <item x="70"/>
        <item x="114"/>
        <item x="23"/>
        <item x="194"/>
        <item x="32"/>
        <item x="154"/>
        <item x="160"/>
        <item x="161"/>
        <item x="183"/>
        <item x="139"/>
        <item x="133"/>
        <item x="115"/>
        <item x="198"/>
        <item x="155"/>
        <item x="199"/>
        <item x="156"/>
        <item x="77"/>
        <item x="99"/>
        <item x="12"/>
        <item x="200"/>
        <item x="201"/>
        <item x="43"/>
        <item x="44"/>
        <item x="195"/>
        <item x="209"/>
        <item x="178"/>
        <item x="162"/>
        <item x="163"/>
        <item x="0"/>
        <item x="33"/>
        <item x="1"/>
        <item x="2"/>
        <item x="34"/>
        <item x="125"/>
        <item x="126"/>
        <item x="210"/>
        <item x="134"/>
        <item x="116"/>
        <item x="140"/>
        <item x="248"/>
        <item x="202"/>
        <item x="203"/>
        <item x="219"/>
        <item x="211"/>
        <item x="171"/>
        <item x="172"/>
        <item x="96"/>
        <item x="249"/>
        <item x="13"/>
        <item x="97"/>
        <item x="179"/>
        <item x="45"/>
        <item x="46"/>
        <item x="65"/>
        <item x="127"/>
        <item x="66"/>
        <item x="14"/>
        <item x="204"/>
        <item x="47"/>
        <item x="3"/>
        <item x="85"/>
        <item x="98"/>
        <item x="196"/>
        <item x="212"/>
        <item x="35"/>
        <item x="141"/>
        <item x="86"/>
        <item x="15"/>
        <item x="150"/>
        <item x="16"/>
        <item x="17"/>
        <item x="57"/>
        <item x="4"/>
        <item x="166"/>
        <item x="135"/>
        <item x="48"/>
        <item x="49"/>
        <item x="50"/>
        <item x="87"/>
        <item x="215"/>
        <item x="117"/>
        <item x="224"/>
        <item x="188"/>
        <item x="58"/>
        <item x="189"/>
        <item x="239"/>
        <item x="59"/>
        <item x="122"/>
        <item x="78"/>
        <item x="240"/>
        <item x="118"/>
        <item x="79"/>
        <item x="88"/>
        <item x="119"/>
        <item x="231"/>
        <item x="173"/>
        <item x="216"/>
        <item x="225"/>
        <item x="226"/>
        <item x="80"/>
        <item x="227"/>
        <item x="220"/>
        <item x="241"/>
        <item x="18"/>
        <item x="221"/>
        <item x="60"/>
        <item x="27"/>
        <item x="242"/>
        <item x="250"/>
        <item x="19"/>
        <item x="251"/>
        <item x="20"/>
        <item x="184"/>
        <item x="185"/>
        <item x="174"/>
        <item x="24"/>
        <item x="61"/>
        <item x="100"/>
        <item x="217"/>
        <item x="101"/>
        <item x="26"/>
        <item x="93"/>
        <item x="157"/>
        <item x="158"/>
        <item x="175"/>
        <item x="89"/>
        <item x="159"/>
        <item x="90"/>
        <item x="190"/>
        <item x="191"/>
        <item x="91"/>
        <item x="5"/>
        <item x="6"/>
        <item x="7"/>
        <item x="36"/>
        <item x="94"/>
        <item x="205"/>
        <item x="206"/>
        <item x="176"/>
        <item x="37"/>
        <item x="51"/>
        <item x="38"/>
        <item x="222"/>
        <item x="223"/>
        <item x="233"/>
        <item x="234"/>
        <item x="228"/>
        <item x="21"/>
        <item x="39"/>
        <item x="128"/>
        <item x="40"/>
        <item x="142"/>
        <item x="143"/>
        <item x="102"/>
        <item x="144"/>
        <item x="145"/>
        <item x="120"/>
        <item x="207"/>
        <item x="252"/>
        <item x="197"/>
        <item x="167"/>
        <item x="164"/>
        <item x="192"/>
        <item x="193"/>
        <item x="103"/>
        <item x="104"/>
        <item x="235"/>
        <item x="168"/>
        <item x="208"/>
        <item x="151"/>
        <item x="62"/>
        <item x="180"/>
        <item x="129"/>
        <item x="243"/>
        <item x="244"/>
        <item x="245"/>
        <item x="130"/>
        <item x="52"/>
        <item x="53"/>
        <item x="54"/>
        <item t="default"/>
      </items>
      <autoSortScope>
        <pivotArea dataOnly="0" outline="0" fieldPosition="0">
          <references count="1">
            <reference field="4294967294" count="1" selected="0">
              <x v="0"/>
            </reference>
          </references>
        </pivotArea>
      </autoSortScope>
    </pivotField>
    <pivotField showAll="0"/>
    <pivotField dataField="1" showAll="0"/>
    <pivotField showAll="0" sortType="descending">
      <items count="31">
        <item x="13"/>
        <item x="8"/>
        <item x="9"/>
        <item x="29"/>
        <item x="19"/>
        <item x="17"/>
        <item x="11"/>
        <item x="22"/>
        <item x="21"/>
        <item x="2"/>
        <item x="3"/>
        <item x="23"/>
        <item x="4"/>
        <item x="28"/>
        <item x="7"/>
        <item x="10"/>
        <item x="6"/>
        <item x="26"/>
        <item x="15"/>
        <item x="1"/>
        <item x="27"/>
        <item x="18"/>
        <item x="5"/>
        <item x="24"/>
        <item x="12"/>
        <item x="16"/>
        <item x="14"/>
        <item x="0"/>
        <item x="25"/>
        <item x="20"/>
        <item t="default"/>
      </items>
      <autoSortScope>
        <pivotArea dataOnly="0" outline="0" fieldPosition="0">
          <references count="1">
            <reference field="4294967294" count="1" selected="0">
              <x v="0"/>
            </reference>
          </references>
        </pivotArea>
      </autoSortScope>
    </pivotField>
    <pivotField showAll="0">
      <items count="8">
        <item x="2"/>
        <item x="3"/>
        <item x="4"/>
        <item x="5"/>
        <item x="6"/>
        <item x="0"/>
        <item x="1"/>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s>
  <rowFields count="1">
    <field x="1"/>
  </rowFields>
  <rowItems count="7">
    <i>
      <x v="182"/>
    </i>
    <i>
      <x v="194"/>
    </i>
    <i>
      <x v="82"/>
    </i>
    <i>
      <x v="128"/>
    </i>
    <i>
      <x v="24"/>
    </i>
    <i>
      <x v="32"/>
    </i>
    <i t="grand">
      <x/>
    </i>
  </rowItems>
  <colItems count="1">
    <i/>
  </colItems>
  <dataFields count="1">
    <dataField name="Sum of Money" fld="3" baseField="0" baseItem="0"/>
  </dataFields>
  <formats count="3">
    <format dxfId="32">
      <pivotArea outline="0" collapsedLevelsAreSubtotals="1" fieldPosition="0"/>
    </format>
    <format dxfId="31">
      <pivotArea outline="0" fieldPosition="0">
        <references count="1">
          <reference field="4294967294" count="1">
            <x v="0"/>
          </reference>
        </references>
      </pivotArea>
    </format>
    <format dxfId="30">
      <pivotArea collapsedLevelsAreSubtotals="1" fieldPosition="0">
        <references count="1">
          <reference field="1" count="31">
            <x v="3"/>
            <x v="4"/>
            <x v="22"/>
            <x v="24"/>
            <x v="32"/>
            <x v="51"/>
            <x v="61"/>
            <x v="66"/>
            <x v="82"/>
            <x v="84"/>
            <x v="106"/>
            <x v="107"/>
            <x v="110"/>
            <x v="128"/>
            <x v="135"/>
            <x v="143"/>
            <x v="148"/>
            <x v="150"/>
            <x v="152"/>
            <x v="165"/>
            <x v="173"/>
            <x v="176"/>
            <x v="182"/>
            <x v="194"/>
            <x v="195"/>
            <x v="200"/>
            <x v="204"/>
            <x v="213"/>
            <x v="227"/>
            <x v="230"/>
            <x v="238"/>
          </reference>
        </references>
      </pivotArea>
    </format>
  </formats>
  <chartFormats count="4">
    <chartFormat chart="3" format="3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B12" firstHeaderRow="1" firstDataRow="1" firstDataCol="1"/>
  <pivotFields count="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numFmtId="21" showAll="0" measureFilter="1" sortType="descending">
      <items count="254">
        <item x="71"/>
        <item x="169"/>
        <item x="181"/>
        <item x="186"/>
        <item x="28"/>
        <item x="67"/>
        <item x="55"/>
        <item x="123"/>
        <item x="213"/>
        <item x="72"/>
        <item x="229"/>
        <item x="29"/>
        <item x="56"/>
        <item x="218"/>
        <item x="81"/>
        <item x="187"/>
        <item x="8"/>
        <item x="30"/>
        <item x="73"/>
        <item x="232"/>
        <item x="82"/>
        <item x="22"/>
        <item x="74"/>
        <item x="41"/>
        <item x="105"/>
        <item x="83"/>
        <item x="25"/>
        <item x="63"/>
        <item x="182"/>
        <item x="64"/>
        <item x="84"/>
        <item x="246"/>
        <item x="247"/>
        <item x="31"/>
        <item x="106"/>
        <item x="68"/>
        <item x="146"/>
        <item x="9"/>
        <item x="10"/>
        <item x="236"/>
        <item x="237"/>
        <item x="238"/>
        <item x="214"/>
        <item x="95"/>
        <item x="147"/>
        <item x="42"/>
        <item x="148"/>
        <item x="136"/>
        <item x="137"/>
        <item x="149"/>
        <item x="152"/>
        <item x="107"/>
        <item x="165"/>
        <item x="108"/>
        <item x="131"/>
        <item x="121"/>
        <item x="153"/>
        <item x="132"/>
        <item x="109"/>
        <item x="170"/>
        <item x="110"/>
        <item x="230"/>
        <item x="111"/>
        <item x="112"/>
        <item x="124"/>
        <item x="69"/>
        <item x="75"/>
        <item x="92"/>
        <item x="76"/>
        <item x="177"/>
        <item x="138"/>
        <item x="113"/>
        <item x="11"/>
        <item x="70"/>
        <item x="114"/>
        <item x="23"/>
        <item x="194"/>
        <item x="32"/>
        <item x="154"/>
        <item x="160"/>
        <item x="161"/>
        <item x="183"/>
        <item x="139"/>
        <item x="133"/>
        <item x="115"/>
        <item x="198"/>
        <item x="155"/>
        <item x="199"/>
        <item x="156"/>
        <item x="77"/>
        <item x="99"/>
        <item x="12"/>
        <item x="200"/>
        <item x="201"/>
        <item x="43"/>
        <item x="44"/>
        <item x="195"/>
        <item x="209"/>
        <item x="178"/>
        <item x="162"/>
        <item x="163"/>
        <item x="0"/>
        <item x="33"/>
        <item x="1"/>
        <item x="2"/>
        <item x="34"/>
        <item x="125"/>
        <item x="126"/>
        <item x="210"/>
        <item x="134"/>
        <item x="116"/>
        <item x="140"/>
        <item x="248"/>
        <item x="202"/>
        <item x="203"/>
        <item x="219"/>
        <item x="211"/>
        <item x="171"/>
        <item x="172"/>
        <item x="96"/>
        <item x="249"/>
        <item x="13"/>
        <item x="97"/>
        <item x="179"/>
        <item x="45"/>
        <item x="46"/>
        <item x="65"/>
        <item x="127"/>
        <item x="66"/>
        <item x="14"/>
        <item x="204"/>
        <item x="47"/>
        <item x="3"/>
        <item x="85"/>
        <item x="98"/>
        <item x="196"/>
        <item x="212"/>
        <item x="35"/>
        <item x="141"/>
        <item x="86"/>
        <item x="15"/>
        <item x="150"/>
        <item x="16"/>
        <item x="17"/>
        <item x="57"/>
        <item x="4"/>
        <item x="166"/>
        <item x="135"/>
        <item x="48"/>
        <item x="49"/>
        <item x="50"/>
        <item x="87"/>
        <item x="215"/>
        <item x="117"/>
        <item x="224"/>
        <item x="188"/>
        <item x="58"/>
        <item x="189"/>
        <item x="239"/>
        <item x="59"/>
        <item x="122"/>
        <item x="78"/>
        <item x="240"/>
        <item x="118"/>
        <item x="79"/>
        <item x="88"/>
        <item x="119"/>
        <item x="231"/>
        <item x="173"/>
        <item x="216"/>
        <item x="225"/>
        <item x="226"/>
        <item x="80"/>
        <item x="227"/>
        <item x="220"/>
        <item x="241"/>
        <item x="18"/>
        <item x="221"/>
        <item x="60"/>
        <item x="27"/>
        <item x="242"/>
        <item x="250"/>
        <item x="19"/>
        <item x="251"/>
        <item x="20"/>
        <item x="184"/>
        <item x="185"/>
        <item x="174"/>
        <item x="24"/>
        <item x="61"/>
        <item x="100"/>
        <item x="217"/>
        <item x="101"/>
        <item x="26"/>
        <item x="93"/>
        <item x="157"/>
        <item x="158"/>
        <item x="175"/>
        <item x="89"/>
        <item x="159"/>
        <item x="90"/>
        <item x="190"/>
        <item x="191"/>
        <item x="91"/>
        <item x="5"/>
        <item x="6"/>
        <item x="7"/>
        <item x="36"/>
        <item x="94"/>
        <item x="205"/>
        <item x="206"/>
        <item x="176"/>
        <item x="37"/>
        <item x="51"/>
        <item x="38"/>
        <item x="222"/>
        <item x="223"/>
        <item x="233"/>
        <item x="234"/>
        <item x="228"/>
        <item x="21"/>
        <item x="39"/>
        <item x="128"/>
        <item x="40"/>
        <item x="142"/>
        <item x="143"/>
        <item x="102"/>
        <item x="144"/>
        <item x="145"/>
        <item x="120"/>
        <item x="207"/>
        <item x="252"/>
        <item x="197"/>
        <item x="167"/>
        <item x="164"/>
        <item x="192"/>
        <item x="193"/>
        <item x="103"/>
        <item x="104"/>
        <item x="235"/>
        <item x="168"/>
        <item x="208"/>
        <item x="151"/>
        <item x="62"/>
        <item x="180"/>
        <item x="129"/>
        <item x="243"/>
        <item x="244"/>
        <item x="245"/>
        <item x="130"/>
        <item x="52"/>
        <item x="53"/>
        <item x="54"/>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31">
        <item x="13"/>
        <item x="8"/>
        <item x="9"/>
        <item x="29"/>
        <item x="19"/>
        <item x="17"/>
        <item x="11"/>
        <item x="22"/>
        <item x="21"/>
        <item x="2"/>
        <item x="3"/>
        <item x="23"/>
        <item x="4"/>
        <item x="28"/>
        <item x="7"/>
        <item x="10"/>
        <item x="6"/>
        <item x="26"/>
        <item x="15"/>
        <item x="1"/>
        <item x="27"/>
        <item x="18"/>
        <item x="5"/>
        <item x="24"/>
        <item x="12"/>
        <item x="16"/>
        <item x="14"/>
        <item x="0"/>
        <item x="25"/>
        <item x="20"/>
        <item t="default"/>
      </items>
    </pivotField>
    <pivotField showAll="0">
      <items count="8">
        <item x="2"/>
        <item x="3"/>
        <item x="4"/>
        <item x="5"/>
        <item x="6"/>
        <item x="0"/>
        <item x="1"/>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s>
  <rowFields count="1">
    <field x="1"/>
  </rowFields>
  <rowItems count="9">
    <i>
      <x v="182"/>
    </i>
    <i>
      <x v="128"/>
    </i>
    <i>
      <x v="194"/>
    </i>
    <i>
      <x v="24"/>
    </i>
    <i>
      <x v="150"/>
    </i>
    <i>
      <x v="32"/>
    </i>
    <i>
      <x v="22"/>
    </i>
    <i>
      <x v="82"/>
    </i>
    <i t="grand">
      <x/>
    </i>
  </rowItems>
  <colItems count="1">
    <i/>
  </colItems>
  <dataFields count="1">
    <dataField name="Count of Coffee_name" fld="4" subtotal="count" baseField="1" baseItem="0" numFmtId="2"/>
  </dataFields>
  <formats count="2">
    <format dxfId="29">
      <pivotArea collapsedLevelsAreSubtotals="1" fieldPosition="0">
        <references count="1">
          <reference field="1" count="1">
            <x v="0"/>
          </reference>
        </references>
      </pivotArea>
    </format>
    <format dxfId="28">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3B14C33-9FE6-4B89-8656-7741BF3C58F9}"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3:B47" firstHeaderRow="1" firstDataRow="1" firstDataCol="1"/>
  <pivotFields count="8">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21" showAll="0">
      <items count="254">
        <item x="71"/>
        <item x="169"/>
        <item x="181"/>
        <item x="186"/>
        <item x="28"/>
        <item x="67"/>
        <item x="55"/>
        <item x="123"/>
        <item x="213"/>
        <item x="72"/>
        <item x="229"/>
        <item x="29"/>
        <item x="56"/>
        <item x="218"/>
        <item x="81"/>
        <item x="187"/>
        <item x="8"/>
        <item x="30"/>
        <item x="73"/>
        <item x="232"/>
        <item x="82"/>
        <item x="22"/>
        <item x="74"/>
        <item x="41"/>
        <item x="105"/>
        <item x="83"/>
        <item x="25"/>
        <item x="63"/>
        <item x="182"/>
        <item x="64"/>
        <item x="84"/>
        <item x="246"/>
        <item x="247"/>
        <item x="31"/>
        <item x="106"/>
        <item x="68"/>
        <item x="146"/>
        <item x="9"/>
        <item x="10"/>
        <item x="236"/>
        <item x="237"/>
        <item x="238"/>
        <item x="214"/>
        <item x="95"/>
        <item x="147"/>
        <item x="42"/>
        <item x="148"/>
        <item x="136"/>
        <item x="137"/>
        <item x="149"/>
        <item x="152"/>
        <item x="107"/>
        <item x="165"/>
        <item x="108"/>
        <item x="131"/>
        <item x="121"/>
        <item x="153"/>
        <item x="132"/>
        <item x="109"/>
        <item x="170"/>
        <item x="110"/>
        <item x="230"/>
        <item x="111"/>
        <item x="112"/>
        <item x="124"/>
        <item x="69"/>
        <item x="75"/>
        <item x="92"/>
        <item x="76"/>
        <item x="177"/>
        <item x="138"/>
        <item x="113"/>
        <item x="11"/>
        <item x="70"/>
        <item x="114"/>
        <item x="23"/>
        <item x="194"/>
        <item x="32"/>
        <item x="154"/>
        <item x="160"/>
        <item x="161"/>
        <item x="183"/>
        <item x="139"/>
        <item x="133"/>
        <item x="115"/>
        <item x="198"/>
        <item x="155"/>
        <item x="199"/>
        <item x="156"/>
        <item x="77"/>
        <item x="99"/>
        <item x="12"/>
        <item x="200"/>
        <item x="201"/>
        <item x="43"/>
        <item x="44"/>
        <item x="195"/>
        <item x="209"/>
        <item x="178"/>
        <item x="162"/>
        <item x="163"/>
        <item x="0"/>
        <item x="33"/>
        <item x="1"/>
        <item x="2"/>
        <item x="34"/>
        <item x="125"/>
        <item x="126"/>
        <item x="210"/>
        <item x="134"/>
        <item x="116"/>
        <item x="140"/>
        <item x="248"/>
        <item x="202"/>
        <item x="203"/>
        <item x="219"/>
        <item x="211"/>
        <item x="171"/>
        <item x="172"/>
        <item x="96"/>
        <item x="249"/>
        <item x="13"/>
        <item x="97"/>
        <item x="179"/>
        <item x="45"/>
        <item x="46"/>
        <item x="65"/>
        <item x="127"/>
        <item x="66"/>
        <item x="14"/>
        <item x="204"/>
        <item x="47"/>
        <item x="3"/>
        <item x="85"/>
        <item x="98"/>
        <item x="196"/>
        <item x="212"/>
        <item x="35"/>
        <item x="141"/>
        <item x="86"/>
        <item x="15"/>
        <item x="150"/>
        <item x="16"/>
        <item x="17"/>
        <item x="57"/>
        <item x="4"/>
        <item x="166"/>
        <item x="135"/>
        <item x="48"/>
        <item x="49"/>
        <item x="50"/>
        <item x="87"/>
        <item x="215"/>
        <item x="117"/>
        <item x="224"/>
        <item x="188"/>
        <item x="58"/>
        <item x="189"/>
        <item x="239"/>
        <item x="59"/>
        <item x="122"/>
        <item x="78"/>
        <item x="240"/>
        <item x="118"/>
        <item x="79"/>
        <item x="88"/>
        <item x="119"/>
        <item x="231"/>
        <item x="173"/>
        <item x="216"/>
        <item x="225"/>
        <item x="226"/>
        <item x="80"/>
        <item x="227"/>
        <item x="220"/>
        <item x="241"/>
        <item x="18"/>
        <item x="221"/>
        <item x="60"/>
        <item x="27"/>
        <item x="242"/>
        <item x="250"/>
        <item x="19"/>
        <item x="251"/>
        <item x="20"/>
        <item x="184"/>
        <item x="185"/>
        <item x="174"/>
        <item x="24"/>
        <item x="61"/>
        <item x="100"/>
        <item x="217"/>
        <item x="101"/>
        <item x="26"/>
        <item x="93"/>
        <item x="157"/>
        <item x="158"/>
        <item x="175"/>
        <item x="89"/>
        <item x="159"/>
        <item x="90"/>
        <item x="190"/>
        <item x="191"/>
        <item x="91"/>
        <item x="5"/>
        <item x="6"/>
        <item x="7"/>
        <item x="36"/>
        <item x="94"/>
        <item x="205"/>
        <item x="206"/>
        <item x="176"/>
        <item x="37"/>
        <item x="51"/>
        <item x="38"/>
        <item x="222"/>
        <item x="223"/>
        <item x="233"/>
        <item x="234"/>
        <item x="228"/>
        <item x="21"/>
        <item x="39"/>
        <item x="128"/>
        <item x="40"/>
        <item x="142"/>
        <item x="143"/>
        <item x="102"/>
        <item x="144"/>
        <item x="145"/>
        <item x="120"/>
        <item x="207"/>
        <item x="252"/>
        <item x="197"/>
        <item x="167"/>
        <item x="164"/>
        <item x="192"/>
        <item x="193"/>
        <item x="103"/>
        <item x="104"/>
        <item x="235"/>
        <item x="168"/>
        <item x="208"/>
        <item x="151"/>
        <item x="62"/>
        <item x="180"/>
        <item x="129"/>
        <item x="243"/>
        <item x="244"/>
        <item x="245"/>
        <item x="130"/>
        <item x="52"/>
        <item x="53"/>
        <item x="54"/>
        <item t="default"/>
      </items>
    </pivotField>
    <pivotField showAll="0"/>
    <pivotField dataField="1" showAll="0"/>
    <pivotField showAll="0">
      <items count="31">
        <item x="13"/>
        <item x="8"/>
        <item x="9"/>
        <item x="29"/>
        <item x="19"/>
        <item x="17"/>
        <item x="11"/>
        <item x="22"/>
        <item x="21"/>
        <item x="2"/>
        <item x="3"/>
        <item x="23"/>
        <item x="4"/>
        <item x="28"/>
        <item x="7"/>
        <item x="10"/>
        <item x="6"/>
        <item x="26"/>
        <item x="15"/>
        <item x="1"/>
        <item x="27"/>
        <item x="18"/>
        <item x="5"/>
        <item x="24"/>
        <item x="12"/>
        <item x="16"/>
        <item x="14"/>
        <item x="0"/>
        <item x="25"/>
        <item x="20"/>
        <item t="default"/>
      </items>
    </pivotField>
    <pivotField showAll="0">
      <items count="8">
        <item x="2"/>
        <item x="3"/>
        <item x="4"/>
        <item x="5"/>
        <item x="6"/>
        <item x="0"/>
        <item x="1"/>
        <item t="default"/>
      </items>
    </pivotField>
    <pivotField showAll="0">
      <items count="3">
        <item x="0"/>
        <item x="1"/>
        <item t="default"/>
      </items>
    </pivotField>
    <pivotField axis="axisRow" showAll="0">
      <items count="15">
        <item sd="0" x="0"/>
        <item sd="0" x="1"/>
        <item x="2"/>
        <item x="3"/>
        <item sd="0" x="4"/>
        <item sd="0" x="5"/>
        <item sd="0" x="6"/>
        <item sd="0" x="7"/>
        <item sd="0" x="8"/>
        <item sd="0" x="9"/>
        <item sd="0" x="10"/>
        <item sd="0" x="11"/>
        <item sd="0" x="12"/>
        <item sd="0" x="13"/>
        <item t="default"/>
      </items>
    </pivotField>
  </pivotFields>
  <rowFields count="2">
    <field x="7"/>
    <field x="0"/>
  </rowFields>
  <rowItems count="44">
    <i>
      <x v="2"/>
    </i>
    <i r="1">
      <x v="39"/>
    </i>
    <i r="1">
      <x v="40"/>
    </i>
    <i r="1">
      <x v="41"/>
    </i>
    <i r="1">
      <x v="42"/>
    </i>
    <i r="1">
      <x v="43"/>
    </i>
    <i r="1">
      <x v="44"/>
    </i>
    <i r="1">
      <x v="45"/>
    </i>
    <i r="1">
      <x v="46"/>
    </i>
    <i r="1">
      <x v="47"/>
    </i>
    <i r="1">
      <x v="48"/>
    </i>
    <i r="1">
      <x v="49"/>
    </i>
    <i r="1">
      <x v="50"/>
    </i>
    <i r="1">
      <x v="51"/>
    </i>
    <i r="1">
      <x v="52"/>
    </i>
    <i r="1">
      <x v="53"/>
    </i>
    <i r="1">
      <x v="54"/>
    </i>
    <i r="1">
      <x v="55"/>
    </i>
    <i r="1">
      <x v="56"/>
    </i>
    <i r="1">
      <x v="57"/>
    </i>
    <i r="1">
      <x v="58"/>
    </i>
    <i r="1">
      <x v="59"/>
    </i>
    <i>
      <x v="3"/>
    </i>
    <i r="1">
      <x v="61"/>
    </i>
    <i r="1">
      <x v="62"/>
    </i>
    <i r="1">
      <x v="63"/>
    </i>
    <i r="1">
      <x v="65"/>
    </i>
    <i r="1">
      <x v="67"/>
    </i>
    <i r="1">
      <x v="68"/>
    </i>
    <i r="1">
      <x v="69"/>
    </i>
    <i r="1">
      <x v="70"/>
    </i>
    <i r="1">
      <x v="71"/>
    </i>
    <i r="1">
      <x v="72"/>
    </i>
    <i r="1">
      <x v="74"/>
    </i>
    <i r="1">
      <x v="75"/>
    </i>
    <i r="1">
      <x v="76"/>
    </i>
    <i r="1">
      <x v="77"/>
    </i>
    <i r="1">
      <x v="78"/>
    </i>
    <i r="1">
      <x v="79"/>
    </i>
    <i r="1">
      <x v="80"/>
    </i>
    <i r="1">
      <x v="81"/>
    </i>
    <i r="1">
      <x v="82"/>
    </i>
    <i r="1">
      <x v="83"/>
    </i>
    <i t="grand">
      <x/>
    </i>
  </rowItems>
  <colItems count="1">
    <i/>
  </colItems>
  <dataFields count="1">
    <dataField name="Sum of Money" fld="3" baseField="0" baseItem="0" numFmtId="164"/>
  </dataFields>
  <formats count="1">
    <format dxfId="27">
      <pivotArea outline="0" collapsedLevelsAreSubtotals="1" fieldPosition="0"/>
    </format>
  </formats>
  <chartFormats count="3">
    <chartFormat chart="8" format="5"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3">
          <reference field="4294967294" count="1" selected="0">
            <x v="0"/>
          </reference>
          <reference field="0" count="1" selected="0">
            <x v="41"/>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of_week" xr10:uid="{5D971920-3EA7-4728-9D54-FDE60822D353}" sourceName="Day of week">
  <pivotTables>
    <pivotTable tabId="10" name="PivotTable6"/>
    <pivotTable tabId="16" name="PivotTable6"/>
    <pivotTable tabId="17" name="PivotTable6"/>
    <pivotTable tabId="13" name="PivotTable6"/>
    <pivotTable tabId="18" name="PivotTable6"/>
    <pivotTable tabId="11" name="PivotTable6"/>
    <pivotTable tabId="12" name="PivotTable6"/>
    <pivotTable tabId="14" name="PivotTable6"/>
    <pivotTable tabId="15" name="PivotTable6"/>
  </pivotTables>
  <data>
    <tabular pivotCacheId="1857019311">
      <items count="7">
        <i x="2" s="1"/>
        <i x="3" s="1"/>
        <i x="4" s="1"/>
        <i x="5" s="1"/>
        <i x="6"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2577CE9-22EC-49E8-97CC-D58C3E7171B3}" sourceName="Month">
  <pivotTables>
    <pivotTable tabId="10" name="PivotTable6"/>
    <pivotTable tabId="16" name="PivotTable6"/>
    <pivotTable tabId="17" name="PivotTable6"/>
    <pivotTable tabId="13" name="PivotTable6"/>
    <pivotTable tabId="18" name="PivotTable6"/>
    <pivotTable tabId="11" name="PivotTable6"/>
    <pivotTable tabId="12" name="PivotTable6"/>
    <pivotTable tabId="14" name="PivotTable6"/>
    <pivotTable tabId="15" name="PivotTable6"/>
  </pivotTables>
  <data>
    <tabular pivotCacheId="185701931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of week" xr10:uid="{2D5B0157-CA85-483F-85F3-0287E0EA4F7F}" cache="Slicer_Day_of_week" caption="Day of week" showCaption="0" style="coffee sales 2" rowHeight="241300"/>
  <slicer name="Month" xr10:uid="{81B28B64-6751-4154-81B7-DF086143F231}" cache="Slicer_Month" caption="Month" columnCount="2" showCaption="0" style="coffee sale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ffee_table" displayName="Coffee_table" ref="A1:G263" totalsRowShown="0" headerRowDxfId="26">
  <autoFilter ref="A1:G263" xr:uid="{00000000-0009-0000-0100-000001000000}"/>
  <tableColumns count="7">
    <tableColumn id="1" xr3:uid="{00000000-0010-0000-0000-000001000000}" name="Date" dataDxfId="25"/>
    <tableColumn id="2" xr3:uid="{00000000-0010-0000-0000-000002000000}" name="Time of day" dataDxfId="24"/>
    <tableColumn id="3" xr3:uid="{00000000-0010-0000-0000-000003000000}" name="Cash_type"/>
    <tableColumn id="4" xr3:uid="{00000000-0010-0000-0000-000004000000}" name="Money"/>
    <tableColumn id="5" xr3:uid="{00000000-0010-0000-0000-000005000000}" name="Coffee_name"/>
    <tableColumn id="6" xr3:uid="{00000000-0010-0000-0000-000006000000}" name="Day of week">
      <calculatedColumnFormula>TEXT(A2,"ddd")</calculatedColumnFormula>
    </tableColumn>
    <tableColumn id="7" xr3:uid="{00000000-0010-0000-0000-000007000000}" name="Month">
      <calculatedColumnFormula>TEXT(A2, "mmm")</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bin"/><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2.bin"/><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2.xml"/><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11"/>
  <sheetViews>
    <sheetView workbookViewId="0">
      <selection activeCell="A6" sqref="A6:B10"/>
    </sheetView>
  </sheetViews>
  <sheetFormatPr defaultRowHeight="14.5" x14ac:dyDescent="0.35"/>
  <cols>
    <col min="1" max="1" width="12.36328125" bestFit="1" customWidth="1"/>
    <col min="2" max="2" width="13" bestFit="1" customWidth="1"/>
  </cols>
  <sheetData>
    <row r="3" spans="1:2" x14ac:dyDescent="0.35">
      <c r="A3" s="4" t="s">
        <v>39</v>
      </c>
      <c r="B3" t="s">
        <v>48</v>
      </c>
    </row>
    <row r="4" spans="1:2" x14ac:dyDescent="0.35">
      <c r="A4" s="5" t="s">
        <v>41</v>
      </c>
      <c r="B4" s="7">
        <v>511</v>
      </c>
    </row>
    <row r="5" spans="1:2" x14ac:dyDescent="0.35">
      <c r="A5" s="5" t="s">
        <v>43</v>
      </c>
      <c r="B5" s="7">
        <v>548</v>
      </c>
    </row>
    <row r="6" spans="1:2" x14ac:dyDescent="0.35">
      <c r="A6" s="5" t="s">
        <v>40</v>
      </c>
      <c r="B6" s="7">
        <v>789</v>
      </c>
    </row>
    <row r="7" spans="1:2" x14ac:dyDescent="0.35">
      <c r="A7" s="5" t="s">
        <v>42</v>
      </c>
      <c r="B7" s="7">
        <v>1089</v>
      </c>
    </row>
    <row r="8" spans="1:2" x14ac:dyDescent="0.35">
      <c r="A8" s="5" t="s">
        <v>44</v>
      </c>
      <c r="B8" s="7">
        <v>1100</v>
      </c>
    </row>
    <row r="9" spans="1:2" x14ac:dyDescent="0.35">
      <c r="A9" s="5" t="s">
        <v>45</v>
      </c>
      <c r="B9" s="7">
        <v>1240</v>
      </c>
    </row>
    <row r="10" spans="1:2" x14ac:dyDescent="0.35">
      <c r="A10" s="5" t="s">
        <v>46</v>
      </c>
      <c r="B10" s="7">
        <v>1613</v>
      </c>
    </row>
    <row r="11" spans="1:2" x14ac:dyDescent="0.35">
      <c r="A11" s="5" t="s">
        <v>47</v>
      </c>
      <c r="B11" s="7">
        <v>6890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6"/>
  <sheetViews>
    <sheetView workbookViewId="0">
      <selection activeCell="C12" sqref="C12"/>
    </sheetView>
  </sheetViews>
  <sheetFormatPr defaultRowHeight="14.5" x14ac:dyDescent="0.35"/>
  <cols>
    <col min="1" max="1" width="12.36328125" bestFit="1" customWidth="1"/>
    <col min="2" max="2" width="13" bestFit="1" customWidth="1"/>
  </cols>
  <sheetData>
    <row r="3" spans="1:2" x14ac:dyDescent="0.35">
      <c r="A3" s="4" t="s">
        <v>39</v>
      </c>
      <c r="B3" t="s">
        <v>48</v>
      </c>
    </row>
    <row r="4" spans="1:2" x14ac:dyDescent="0.35">
      <c r="A4" s="5" t="s">
        <v>0</v>
      </c>
      <c r="B4" s="7">
        <v>2021</v>
      </c>
    </row>
    <row r="5" spans="1:2" x14ac:dyDescent="0.35">
      <c r="A5" s="5" t="s">
        <v>2</v>
      </c>
      <c r="B5" s="7">
        <v>4869</v>
      </c>
    </row>
    <row r="6" spans="1:2" x14ac:dyDescent="0.35">
      <c r="A6" s="5" t="s">
        <v>47</v>
      </c>
      <c r="B6" s="7">
        <v>6890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1"/>
  <sheetViews>
    <sheetView topLeftCell="A15" workbookViewId="0">
      <selection activeCell="AE11" sqref="AE11"/>
    </sheetView>
  </sheetViews>
  <sheetFormatPr defaultRowHeight="14.5" x14ac:dyDescent="0.35"/>
  <cols>
    <col min="1" max="1" width="12.36328125" bestFit="1" customWidth="1"/>
    <col min="2" max="2" width="19.90625" bestFit="1" customWidth="1"/>
  </cols>
  <sheetData>
    <row r="3" spans="1:2" x14ac:dyDescent="0.35">
      <c r="A3" s="4" t="s">
        <v>39</v>
      </c>
      <c r="B3" t="s">
        <v>49</v>
      </c>
    </row>
    <row r="4" spans="1:2" x14ac:dyDescent="0.35">
      <c r="A4" s="5" t="s">
        <v>51</v>
      </c>
      <c r="B4" s="13">
        <v>138</v>
      </c>
    </row>
    <row r="5" spans="1:2" x14ac:dyDescent="0.35">
      <c r="A5" s="5" t="s">
        <v>52</v>
      </c>
      <c r="B5" s="13">
        <v>124</v>
      </c>
    </row>
    <row r="6" spans="1:2" x14ac:dyDescent="0.35">
      <c r="A6" s="5" t="s">
        <v>47</v>
      </c>
      <c r="B6" s="13">
        <v>262</v>
      </c>
    </row>
    <row r="9" spans="1:2" x14ac:dyDescent="0.35">
      <c r="A9" s="9" t="s">
        <v>38</v>
      </c>
      <c r="B9" s="10" t="s">
        <v>50</v>
      </c>
    </row>
    <row r="10" spans="1:2" x14ac:dyDescent="0.35">
      <c r="A10" s="5" t="s">
        <v>51</v>
      </c>
      <c r="B10" s="8">
        <v>138</v>
      </c>
    </row>
    <row r="11" spans="1:2" x14ac:dyDescent="0.35">
      <c r="A11" s="5" t="s">
        <v>52</v>
      </c>
      <c r="B11" s="8">
        <v>124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9"/>
  <sheetViews>
    <sheetView workbookViewId="0">
      <selection activeCell="A4" sqref="A4"/>
    </sheetView>
  </sheetViews>
  <sheetFormatPr defaultRowHeight="14.5" x14ac:dyDescent="0.35"/>
  <cols>
    <col min="1" max="1" width="21.81640625" bestFit="1" customWidth="1"/>
    <col min="2" max="2" width="13" bestFit="1" customWidth="1"/>
  </cols>
  <sheetData>
    <row r="3" spans="1:2" x14ac:dyDescent="0.35">
      <c r="A3" s="4" t="s">
        <v>39</v>
      </c>
      <c r="B3" t="s">
        <v>48</v>
      </c>
    </row>
    <row r="4" spans="1:2" x14ac:dyDescent="0.35">
      <c r="A4" s="5" t="s">
        <v>6</v>
      </c>
      <c r="B4" s="7">
        <v>464</v>
      </c>
    </row>
    <row r="5" spans="1:2" x14ac:dyDescent="0.35">
      <c r="A5" s="5" t="s">
        <v>11</v>
      </c>
      <c r="B5" s="7">
        <v>480</v>
      </c>
    </row>
    <row r="6" spans="1:2" x14ac:dyDescent="0.35">
      <c r="A6" s="5" t="s">
        <v>20</v>
      </c>
      <c r="B6" s="7">
        <v>525</v>
      </c>
    </row>
    <row r="7" spans="1:2" x14ac:dyDescent="0.35">
      <c r="A7" s="5" t="s">
        <v>14</v>
      </c>
      <c r="B7" s="7">
        <v>792</v>
      </c>
    </row>
    <row r="8" spans="1:2" x14ac:dyDescent="0.35">
      <c r="A8" s="5" t="s">
        <v>10</v>
      </c>
      <c r="B8" s="7">
        <v>1100</v>
      </c>
    </row>
    <row r="9" spans="1:2" x14ac:dyDescent="0.35">
      <c r="A9" s="5" t="s">
        <v>47</v>
      </c>
      <c r="B9" s="7">
        <v>3361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34"/>
  <sheetViews>
    <sheetView topLeftCell="A13" workbookViewId="0">
      <selection activeCell="D24" sqref="D24:E26"/>
    </sheetView>
  </sheetViews>
  <sheetFormatPr defaultRowHeight="14.5" x14ac:dyDescent="0.35"/>
  <cols>
    <col min="1" max="1" width="23.26953125" bestFit="1" customWidth="1"/>
    <col min="2" max="2" width="19.90625" bestFit="1" customWidth="1"/>
    <col min="4" max="4" width="21.81640625" bestFit="1" customWidth="1"/>
  </cols>
  <sheetData>
    <row r="3" spans="1:2" x14ac:dyDescent="0.35">
      <c r="A3" s="4" t="s">
        <v>39</v>
      </c>
      <c r="B3" t="s">
        <v>49</v>
      </c>
    </row>
    <row r="4" spans="1:2" x14ac:dyDescent="0.35">
      <c r="A4" s="5" t="s">
        <v>10</v>
      </c>
      <c r="B4" s="8">
        <v>44</v>
      </c>
    </row>
    <row r="5" spans="1:2" x14ac:dyDescent="0.35">
      <c r="A5" s="5" t="s">
        <v>14</v>
      </c>
      <c r="B5" s="8">
        <v>24</v>
      </c>
    </row>
    <row r="6" spans="1:2" x14ac:dyDescent="0.35">
      <c r="A6" s="5" t="s">
        <v>20</v>
      </c>
      <c r="B6" s="8">
        <v>21</v>
      </c>
    </row>
    <row r="7" spans="1:2" x14ac:dyDescent="0.35">
      <c r="A7" s="5" t="s">
        <v>3</v>
      </c>
      <c r="B7" s="8">
        <v>18</v>
      </c>
    </row>
    <row r="8" spans="1:2" x14ac:dyDescent="0.35">
      <c r="A8" s="5" t="s">
        <v>1</v>
      </c>
      <c r="B8" s="8">
        <v>16</v>
      </c>
    </row>
    <row r="9" spans="1:2" x14ac:dyDescent="0.35">
      <c r="A9" s="5" t="s">
        <v>11</v>
      </c>
      <c r="B9" s="8">
        <v>16</v>
      </c>
    </row>
    <row r="10" spans="1:2" x14ac:dyDescent="0.35">
      <c r="A10" s="5" t="s">
        <v>6</v>
      </c>
      <c r="B10" s="8">
        <v>16</v>
      </c>
    </row>
    <row r="11" spans="1:2" x14ac:dyDescent="0.35">
      <c r="A11" s="5" t="s">
        <v>7</v>
      </c>
      <c r="B11" s="8">
        <v>15</v>
      </c>
    </row>
    <row r="12" spans="1:2" x14ac:dyDescent="0.35">
      <c r="A12" s="5" t="s">
        <v>15</v>
      </c>
      <c r="B12" s="8">
        <v>15</v>
      </c>
    </row>
    <row r="13" spans="1:2" x14ac:dyDescent="0.35">
      <c r="A13" s="5" t="s">
        <v>5</v>
      </c>
      <c r="B13" s="8">
        <v>12</v>
      </c>
    </row>
    <row r="14" spans="1:2" x14ac:dyDescent="0.35">
      <c r="A14" s="5" t="s">
        <v>8</v>
      </c>
      <c r="B14" s="8">
        <v>12</v>
      </c>
    </row>
    <row r="15" spans="1:2" x14ac:dyDescent="0.35">
      <c r="A15" s="5" t="s">
        <v>13</v>
      </c>
      <c r="B15" s="8">
        <v>8</v>
      </c>
    </row>
    <row r="16" spans="1:2" x14ac:dyDescent="0.35">
      <c r="A16" s="5" t="s">
        <v>16</v>
      </c>
      <c r="B16" s="8">
        <v>6</v>
      </c>
    </row>
    <row r="17" spans="1:5" x14ac:dyDescent="0.35">
      <c r="A17" s="5" t="s">
        <v>26</v>
      </c>
      <c r="B17" s="8">
        <v>5</v>
      </c>
    </row>
    <row r="18" spans="1:5" x14ac:dyDescent="0.35">
      <c r="A18" s="5" t="s">
        <v>18</v>
      </c>
      <c r="B18" s="8">
        <v>5</v>
      </c>
    </row>
    <row r="19" spans="1:5" x14ac:dyDescent="0.35">
      <c r="A19" s="5" t="s">
        <v>4</v>
      </c>
      <c r="B19" s="8">
        <v>5</v>
      </c>
      <c r="D19" s="16" t="s">
        <v>94</v>
      </c>
      <c r="E19" s="16" t="s">
        <v>95</v>
      </c>
    </row>
    <row r="20" spans="1:5" x14ac:dyDescent="0.35">
      <c r="A20" s="5" t="s">
        <v>19</v>
      </c>
      <c r="B20" s="8">
        <v>4</v>
      </c>
      <c r="D20" s="5" t="s">
        <v>10</v>
      </c>
      <c r="E20" s="8">
        <v>44</v>
      </c>
    </row>
    <row r="21" spans="1:5" x14ac:dyDescent="0.35">
      <c r="A21" s="5" t="s">
        <v>24</v>
      </c>
      <c r="B21" s="8">
        <v>3</v>
      </c>
      <c r="D21" s="5" t="s">
        <v>14</v>
      </c>
      <c r="E21" s="8">
        <v>24</v>
      </c>
    </row>
    <row r="22" spans="1:5" x14ac:dyDescent="0.35">
      <c r="A22" s="5" t="s">
        <v>22</v>
      </c>
      <c r="B22" s="8">
        <v>3</v>
      </c>
      <c r="D22" s="5" t="s">
        <v>20</v>
      </c>
      <c r="E22" s="8">
        <v>21</v>
      </c>
    </row>
    <row r="23" spans="1:5" x14ac:dyDescent="0.35">
      <c r="A23" s="5" t="s">
        <v>21</v>
      </c>
      <c r="B23" s="8">
        <v>2</v>
      </c>
      <c r="D23" s="5" t="s">
        <v>3</v>
      </c>
      <c r="E23" s="8">
        <v>18</v>
      </c>
    </row>
    <row r="24" spans="1:5" x14ac:dyDescent="0.35">
      <c r="A24" s="5" t="s">
        <v>12</v>
      </c>
      <c r="B24" s="8">
        <v>2</v>
      </c>
      <c r="D24" s="5" t="s">
        <v>6</v>
      </c>
      <c r="E24" s="8">
        <v>16</v>
      </c>
    </row>
    <row r="25" spans="1:5" x14ac:dyDescent="0.35">
      <c r="A25" s="5" t="s">
        <v>17</v>
      </c>
      <c r="B25" s="8">
        <v>2</v>
      </c>
      <c r="D25" s="5" t="s">
        <v>1</v>
      </c>
      <c r="E25" s="8">
        <v>16</v>
      </c>
    </row>
    <row r="26" spans="1:5" x14ac:dyDescent="0.35">
      <c r="A26" s="5" t="s">
        <v>28</v>
      </c>
      <c r="B26" s="8">
        <v>1</v>
      </c>
      <c r="D26" s="5" t="s">
        <v>11</v>
      </c>
      <c r="E26" s="8">
        <v>16</v>
      </c>
    </row>
    <row r="27" spans="1:5" x14ac:dyDescent="0.35">
      <c r="A27" s="5" t="s">
        <v>23</v>
      </c>
      <c r="B27" s="8">
        <v>1</v>
      </c>
    </row>
    <row r="28" spans="1:5" x14ac:dyDescent="0.35">
      <c r="A28" s="5" t="s">
        <v>30</v>
      </c>
      <c r="B28" s="8">
        <v>1</v>
      </c>
    </row>
    <row r="29" spans="1:5" x14ac:dyDescent="0.35">
      <c r="A29" s="5" t="s">
        <v>25</v>
      </c>
      <c r="B29" s="8">
        <v>1</v>
      </c>
    </row>
    <row r="30" spans="1:5" x14ac:dyDescent="0.35">
      <c r="A30" s="5" t="s">
        <v>27</v>
      </c>
      <c r="B30" s="8">
        <v>1</v>
      </c>
    </row>
    <row r="31" spans="1:5" x14ac:dyDescent="0.35">
      <c r="A31" s="5" t="s">
        <v>31</v>
      </c>
      <c r="B31" s="8">
        <v>1</v>
      </c>
    </row>
    <row r="32" spans="1:5" x14ac:dyDescent="0.35">
      <c r="A32" s="5" t="s">
        <v>29</v>
      </c>
      <c r="B32" s="8">
        <v>1</v>
      </c>
    </row>
    <row r="33" spans="1:2" x14ac:dyDescent="0.35">
      <c r="A33" s="5" t="s">
        <v>9</v>
      </c>
      <c r="B33" s="8">
        <v>1</v>
      </c>
    </row>
    <row r="34" spans="1:2" x14ac:dyDescent="0.35">
      <c r="A34" s="5" t="s">
        <v>47</v>
      </c>
      <c r="B34" s="8">
        <v>262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6"/>
  <sheetViews>
    <sheetView workbookViewId="0">
      <selection activeCell="B4" sqref="B4:B5"/>
    </sheetView>
  </sheetViews>
  <sheetFormatPr defaultRowHeight="14.5" x14ac:dyDescent="0.35"/>
  <cols>
    <col min="1" max="1" width="12.36328125" bestFit="1" customWidth="1"/>
    <col min="2" max="2" width="13" bestFit="1" customWidth="1"/>
  </cols>
  <sheetData>
    <row r="3" spans="1:2" x14ac:dyDescent="0.35">
      <c r="A3" s="4" t="s">
        <v>39</v>
      </c>
      <c r="B3" t="s">
        <v>48</v>
      </c>
    </row>
    <row r="4" spans="1:2" x14ac:dyDescent="0.35">
      <c r="A4" s="5" t="s">
        <v>51</v>
      </c>
      <c r="B4" s="11">
        <v>0.52089985486211898</v>
      </c>
    </row>
    <row r="5" spans="1:2" x14ac:dyDescent="0.35">
      <c r="A5" s="5" t="s">
        <v>52</v>
      </c>
      <c r="B5" s="11">
        <v>0.47910014513788096</v>
      </c>
    </row>
    <row r="6" spans="1:2" x14ac:dyDescent="0.35">
      <c r="A6" s="5" t="s">
        <v>47</v>
      </c>
      <c r="B6" s="11">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B10"/>
  <sheetViews>
    <sheetView workbookViewId="0">
      <selection activeCell="A4" sqref="A4:B9"/>
    </sheetView>
  </sheetViews>
  <sheetFormatPr defaultRowHeight="14.5" x14ac:dyDescent="0.35"/>
  <cols>
    <col min="1" max="1" width="12.36328125" bestFit="1" customWidth="1"/>
    <col min="2" max="2" width="13" bestFit="1" customWidth="1"/>
    <col min="3" max="3" width="18.1796875" bestFit="1" customWidth="1"/>
    <col min="4" max="4" width="10.453125" bestFit="1" customWidth="1"/>
    <col min="5" max="5" width="7.7265625" bestFit="1" customWidth="1"/>
    <col min="6" max="6" width="13.453125" bestFit="1" customWidth="1"/>
    <col min="7" max="7" width="20.6328125" bestFit="1" customWidth="1"/>
    <col min="8" max="8" width="23.453125" bestFit="1" customWidth="1"/>
    <col min="9" max="9" width="16" bestFit="1" customWidth="1"/>
    <col min="10" max="10" width="9.1796875" bestFit="1" customWidth="1"/>
    <col min="11" max="11" width="19.1796875" bestFit="1" customWidth="1"/>
    <col min="12" max="12" width="17.54296875" bestFit="1" customWidth="1"/>
    <col min="13" max="13" width="19.1796875" bestFit="1" customWidth="1"/>
    <col min="14" max="14" width="22" bestFit="1" customWidth="1"/>
    <col min="15" max="15" width="15.453125" bestFit="1" customWidth="1"/>
    <col min="16" max="16" width="14.7265625" bestFit="1" customWidth="1"/>
    <col min="17" max="17" width="23.08984375" bestFit="1" customWidth="1"/>
    <col min="18" max="18" width="18.26953125" bestFit="1" customWidth="1"/>
    <col min="19" max="19" width="14.36328125" bestFit="1" customWidth="1"/>
    <col min="20" max="20" width="12.6328125" bestFit="1" customWidth="1"/>
    <col min="21" max="21" width="8.1796875" bestFit="1" customWidth="1"/>
    <col min="22" max="22" width="12.90625" bestFit="1" customWidth="1"/>
    <col min="23" max="23" width="11.6328125" bestFit="1" customWidth="1"/>
    <col min="24" max="24" width="20" bestFit="1" customWidth="1"/>
    <col min="25" max="25" width="17.36328125" bestFit="1" customWidth="1"/>
    <col min="26" max="26" width="5.08984375" bestFit="1" customWidth="1"/>
    <col min="27" max="27" width="10.81640625" bestFit="1" customWidth="1"/>
    <col min="28" max="28" width="14.26953125" bestFit="1" customWidth="1"/>
    <col min="29" max="29" width="3.81640625" bestFit="1" customWidth="1"/>
    <col min="30" max="30" width="12.08984375" bestFit="1" customWidth="1"/>
    <col min="31" max="31" width="22.1796875" bestFit="1" customWidth="1"/>
    <col min="32" max="32" width="10.7265625" bestFit="1" customWidth="1"/>
  </cols>
  <sheetData>
    <row r="3" spans="1:2" x14ac:dyDescent="0.35">
      <c r="A3" s="4" t="s">
        <v>39</v>
      </c>
      <c r="B3" t="s">
        <v>48</v>
      </c>
    </row>
    <row r="4" spans="1:2" x14ac:dyDescent="0.35">
      <c r="A4" s="12">
        <v>0.75094907407407396</v>
      </c>
      <c r="B4" s="7">
        <v>73</v>
      </c>
    </row>
    <row r="5" spans="1:2" x14ac:dyDescent="0.35">
      <c r="A5" s="12">
        <v>0.77682870370370372</v>
      </c>
      <c r="B5" s="7">
        <v>58</v>
      </c>
    </row>
    <row r="6" spans="1:2" x14ac:dyDescent="0.35">
      <c r="A6" s="12">
        <v>0.53339120370370374</v>
      </c>
      <c r="B6" s="7">
        <v>58</v>
      </c>
    </row>
    <row r="7" spans="1:2" x14ac:dyDescent="0.35">
      <c r="A7" s="12">
        <v>0.65429398148148155</v>
      </c>
      <c r="B7" s="7">
        <v>50</v>
      </c>
    </row>
    <row r="8" spans="1:2" x14ac:dyDescent="0.35">
      <c r="A8" s="12">
        <v>0.40361111111111114</v>
      </c>
      <c r="B8" s="7">
        <v>50</v>
      </c>
    </row>
    <row r="9" spans="1:2" x14ac:dyDescent="0.35">
      <c r="A9" s="12">
        <v>0.43458333333333332</v>
      </c>
      <c r="B9" s="7">
        <v>50</v>
      </c>
    </row>
    <row r="10" spans="1:2" x14ac:dyDescent="0.35">
      <c r="A10" s="12" t="s">
        <v>47</v>
      </c>
      <c r="B10" s="6">
        <v>339</v>
      </c>
    </row>
  </sheetData>
  <pageMargins left="0.7" right="0.7" top="0.75" bottom="0.75" header="0.3" footer="0.3"/>
  <pageSetup paperSize="9"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B12"/>
  <sheetViews>
    <sheetView workbookViewId="0">
      <selection activeCell="B4" sqref="B4"/>
    </sheetView>
  </sheetViews>
  <sheetFormatPr defaultRowHeight="14.5" x14ac:dyDescent="0.35"/>
  <cols>
    <col min="1" max="1" width="12.36328125" bestFit="1" customWidth="1"/>
    <col min="2" max="2" width="19.90625" bestFit="1" customWidth="1"/>
    <col min="3" max="3" width="18.1796875" bestFit="1" customWidth="1"/>
    <col min="4" max="4" width="10.453125" bestFit="1" customWidth="1"/>
    <col min="5" max="5" width="7.7265625" bestFit="1" customWidth="1"/>
    <col min="6" max="6" width="13.453125" bestFit="1" customWidth="1"/>
    <col min="7" max="7" width="20.6328125" bestFit="1" customWidth="1"/>
    <col min="8" max="8" width="23.453125" bestFit="1" customWidth="1"/>
    <col min="9" max="9" width="16" bestFit="1" customWidth="1"/>
    <col min="10" max="10" width="9.1796875" bestFit="1" customWidth="1"/>
    <col min="11" max="11" width="19.1796875" bestFit="1" customWidth="1"/>
    <col min="12" max="12" width="17.54296875" bestFit="1" customWidth="1"/>
    <col min="13" max="13" width="19.1796875" bestFit="1" customWidth="1"/>
    <col min="14" max="14" width="22" bestFit="1" customWidth="1"/>
    <col min="15" max="15" width="15.453125" bestFit="1" customWidth="1"/>
    <col min="16" max="16" width="14.7265625" bestFit="1" customWidth="1"/>
    <col min="17" max="17" width="23.08984375" bestFit="1" customWidth="1"/>
    <col min="18" max="18" width="18.26953125" bestFit="1" customWidth="1"/>
    <col min="19" max="19" width="14.36328125" bestFit="1" customWidth="1"/>
    <col min="20" max="20" width="12.6328125" bestFit="1" customWidth="1"/>
    <col min="21" max="21" width="8.1796875" bestFit="1" customWidth="1"/>
    <col min="22" max="22" width="12.90625" bestFit="1" customWidth="1"/>
    <col min="23" max="23" width="11.6328125" bestFit="1" customWidth="1"/>
    <col min="24" max="24" width="20" bestFit="1" customWidth="1"/>
    <col min="25" max="25" width="17.36328125" bestFit="1" customWidth="1"/>
    <col min="26" max="26" width="5.08984375" bestFit="1" customWidth="1"/>
    <col min="27" max="27" width="10.81640625" bestFit="1" customWidth="1"/>
    <col min="28" max="28" width="14.26953125" bestFit="1" customWidth="1"/>
    <col min="29" max="29" width="3.81640625" bestFit="1" customWidth="1"/>
    <col min="30" max="30" width="12.08984375" bestFit="1" customWidth="1"/>
    <col min="31" max="31" width="22.1796875" bestFit="1" customWidth="1"/>
    <col min="32" max="32" width="10.7265625" bestFit="1" customWidth="1"/>
  </cols>
  <sheetData>
    <row r="3" spans="1:2" x14ac:dyDescent="0.35">
      <c r="A3" s="4" t="s">
        <v>39</v>
      </c>
      <c r="B3" t="s">
        <v>49</v>
      </c>
    </row>
    <row r="4" spans="1:2" x14ac:dyDescent="0.35">
      <c r="A4" s="12">
        <v>0.75094907407407396</v>
      </c>
      <c r="B4" s="13">
        <v>3</v>
      </c>
    </row>
    <row r="5" spans="1:2" x14ac:dyDescent="0.35">
      <c r="A5" s="12">
        <v>0.65429398148148155</v>
      </c>
      <c r="B5" s="13">
        <v>2</v>
      </c>
    </row>
    <row r="6" spans="1:2" x14ac:dyDescent="0.35">
      <c r="A6" s="12">
        <v>0.77682870370370372</v>
      </c>
      <c r="B6" s="13">
        <v>2</v>
      </c>
    </row>
    <row r="7" spans="1:2" x14ac:dyDescent="0.35">
      <c r="A7" s="12">
        <v>0.40361111111111114</v>
      </c>
      <c r="B7" s="13">
        <v>2</v>
      </c>
    </row>
    <row r="8" spans="1:2" x14ac:dyDescent="0.35">
      <c r="A8" s="12">
        <v>0.69534722222222223</v>
      </c>
      <c r="B8" s="13">
        <v>2</v>
      </c>
    </row>
    <row r="9" spans="1:2" x14ac:dyDescent="0.35">
      <c r="A9" s="12">
        <v>0.43458333333333332</v>
      </c>
      <c r="B9" s="13">
        <v>2</v>
      </c>
    </row>
    <row r="10" spans="1:2" x14ac:dyDescent="0.35">
      <c r="A10" s="12">
        <v>0.40006944444444442</v>
      </c>
      <c r="B10" s="13">
        <v>2</v>
      </c>
    </row>
    <row r="11" spans="1:2" x14ac:dyDescent="0.35">
      <c r="A11" s="12">
        <v>0.53339120370370374</v>
      </c>
      <c r="B11" s="13">
        <v>2</v>
      </c>
    </row>
    <row r="12" spans="1:2" x14ac:dyDescent="0.35">
      <c r="A12" s="12" t="s">
        <v>47</v>
      </c>
      <c r="B12" s="13">
        <v>17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showGridLines="0" workbookViewId="0"/>
  </sheetViews>
  <sheetFormatPr defaultRowHeight="14.5" x14ac:dyDescent="0.3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A3CA1-A86E-4EEF-9C1C-A6C3CA7D4F66}">
  <dimension ref="A3:B47"/>
  <sheetViews>
    <sheetView workbookViewId="0">
      <selection activeCell="H10" sqref="H10"/>
    </sheetView>
  </sheetViews>
  <sheetFormatPr defaultRowHeight="14.5" x14ac:dyDescent="0.35"/>
  <cols>
    <col min="1" max="1" width="12.36328125" bestFit="1" customWidth="1"/>
    <col min="2" max="2" width="13" bestFit="1" customWidth="1"/>
    <col min="3" max="3" width="18.1796875" bestFit="1" customWidth="1"/>
    <col min="4" max="4" width="10.453125" bestFit="1" customWidth="1"/>
    <col min="5" max="5" width="7.7265625" bestFit="1" customWidth="1"/>
    <col min="6" max="6" width="13.453125" bestFit="1" customWidth="1"/>
    <col min="7" max="7" width="20.6328125" bestFit="1" customWidth="1"/>
    <col min="8" max="8" width="23.453125" bestFit="1" customWidth="1"/>
    <col min="9" max="9" width="16" bestFit="1" customWidth="1"/>
    <col min="10" max="10" width="9.1796875" bestFit="1" customWidth="1"/>
    <col min="11" max="11" width="19.1796875" bestFit="1" customWidth="1"/>
    <col min="12" max="12" width="17.54296875" bestFit="1" customWidth="1"/>
    <col min="13" max="13" width="19.1796875" bestFit="1" customWidth="1"/>
    <col min="14" max="14" width="22" bestFit="1" customWidth="1"/>
    <col min="15" max="15" width="15.453125" bestFit="1" customWidth="1"/>
    <col min="16" max="16" width="14.7265625" bestFit="1" customWidth="1"/>
    <col min="17" max="17" width="23.08984375" bestFit="1" customWidth="1"/>
    <col min="18" max="18" width="18.26953125" bestFit="1" customWidth="1"/>
    <col min="19" max="19" width="14.36328125" bestFit="1" customWidth="1"/>
    <col min="20" max="20" width="12.6328125" bestFit="1" customWidth="1"/>
    <col min="21" max="21" width="8.1796875" bestFit="1" customWidth="1"/>
    <col min="22" max="22" width="12.90625" bestFit="1" customWidth="1"/>
    <col min="23" max="23" width="11.6328125" bestFit="1" customWidth="1"/>
    <col min="24" max="24" width="20" bestFit="1" customWidth="1"/>
    <col min="25" max="25" width="17.36328125" bestFit="1" customWidth="1"/>
    <col min="26" max="26" width="5.08984375" bestFit="1" customWidth="1"/>
    <col min="27" max="27" width="10.81640625" bestFit="1" customWidth="1"/>
    <col min="28" max="28" width="14.26953125" bestFit="1" customWidth="1"/>
    <col min="29" max="29" width="3.81640625" bestFit="1" customWidth="1"/>
    <col min="30" max="30" width="12.08984375" bestFit="1" customWidth="1"/>
    <col min="31" max="31" width="22.1796875" bestFit="1" customWidth="1"/>
    <col min="32" max="32" width="10.7265625" bestFit="1" customWidth="1"/>
  </cols>
  <sheetData>
    <row r="3" spans="1:2" x14ac:dyDescent="0.35">
      <c r="A3" s="4" t="s">
        <v>39</v>
      </c>
      <c r="B3" t="s">
        <v>48</v>
      </c>
    </row>
    <row r="4" spans="1:2" x14ac:dyDescent="0.35">
      <c r="A4" s="5" t="s">
        <v>51</v>
      </c>
      <c r="B4" s="7">
        <v>3589</v>
      </c>
    </row>
    <row r="5" spans="1:2" x14ac:dyDescent="0.35">
      <c r="A5" s="14" t="s">
        <v>53</v>
      </c>
      <c r="B5" s="7">
        <v>196</v>
      </c>
    </row>
    <row r="6" spans="1:2" x14ac:dyDescent="0.35">
      <c r="A6" s="14" t="s">
        <v>54</v>
      </c>
      <c r="B6" s="7">
        <v>444</v>
      </c>
    </row>
    <row r="7" spans="1:2" x14ac:dyDescent="0.35">
      <c r="A7" s="14" t="s">
        <v>55</v>
      </c>
      <c r="B7" s="7">
        <v>77</v>
      </c>
    </row>
    <row r="8" spans="1:2" x14ac:dyDescent="0.35">
      <c r="A8" s="14" t="s">
        <v>56</v>
      </c>
      <c r="B8" s="7">
        <v>40</v>
      </c>
    </row>
    <row r="9" spans="1:2" x14ac:dyDescent="0.35">
      <c r="A9" s="14" t="s">
        <v>57</v>
      </c>
      <c r="B9" s="7">
        <v>27</v>
      </c>
    </row>
    <row r="10" spans="1:2" x14ac:dyDescent="0.35">
      <c r="A10" s="14" t="s">
        <v>58</v>
      </c>
      <c r="B10" s="7">
        <v>120</v>
      </c>
    </row>
    <row r="11" spans="1:2" x14ac:dyDescent="0.35">
      <c r="A11" s="14" t="s">
        <v>59</v>
      </c>
      <c r="B11" s="7">
        <v>220</v>
      </c>
    </row>
    <row r="12" spans="1:2" x14ac:dyDescent="0.35">
      <c r="A12" s="14" t="s">
        <v>60</v>
      </c>
      <c r="B12" s="7">
        <v>174</v>
      </c>
    </row>
    <row r="13" spans="1:2" x14ac:dyDescent="0.35">
      <c r="A13" s="14" t="s">
        <v>61</v>
      </c>
      <c r="B13" s="7">
        <v>226</v>
      </c>
    </row>
    <row r="14" spans="1:2" x14ac:dyDescent="0.35">
      <c r="A14" s="14" t="s">
        <v>62</v>
      </c>
      <c r="B14" s="7">
        <v>207</v>
      </c>
    </row>
    <row r="15" spans="1:2" x14ac:dyDescent="0.35">
      <c r="A15" s="14" t="s">
        <v>63</v>
      </c>
      <c r="B15" s="7">
        <v>108</v>
      </c>
    </row>
    <row r="16" spans="1:2" x14ac:dyDescent="0.35">
      <c r="A16" s="14" t="s">
        <v>64</v>
      </c>
      <c r="B16" s="7">
        <v>95</v>
      </c>
    </row>
    <row r="17" spans="1:2" x14ac:dyDescent="0.35">
      <c r="A17" s="14" t="s">
        <v>65</v>
      </c>
      <c r="B17" s="7">
        <v>300</v>
      </c>
    </row>
    <row r="18" spans="1:2" x14ac:dyDescent="0.35">
      <c r="A18" s="14" t="s">
        <v>66</v>
      </c>
      <c r="B18" s="7">
        <v>284</v>
      </c>
    </row>
    <row r="19" spans="1:2" x14ac:dyDescent="0.35">
      <c r="A19" s="14" t="s">
        <v>67</v>
      </c>
      <c r="B19" s="7">
        <v>115</v>
      </c>
    </row>
    <row r="20" spans="1:2" x14ac:dyDescent="0.35">
      <c r="A20" s="14" t="s">
        <v>68</v>
      </c>
      <c r="B20" s="7">
        <v>106</v>
      </c>
    </row>
    <row r="21" spans="1:2" x14ac:dyDescent="0.35">
      <c r="A21" s="14" t="s">
        <v>69</v>
      </c>
      <c r="B21" s="7">
        <v>96</v>
      </c>
    </row>
    <row r="22" spans="1:2" x14ac:dyDescent="0.35">
      <c r="A22" s="14" t="s">
        <v>70</v>
      </c>
      <c r="B22" s="7">
        <v>62</v>
      </c>
    </row>
    <row r="23" spans="1:2" x14ac:dyDescent="0.35">
      <c r="A23" s="14" t="s">
        <v>71</v>
      </c>
      <c r="B23" s="7">
        <v>405</v>
      </c>
    </row>
    <row r="24" spans="1:2" x14ac:dyDescent="0.35">
      <c r="A24" s="14" t="s">
        <v>72</v>
      </c>
      <c r="B24" s="7">
        <v>40</v>
      </c>
    </row>
    <row r="25" spans="1:2" x14ac:dyDescent="0.35">
      <c r="A25" s="14" t="s">
        <v>73</v>
      </c>
      <c r="B25" s="7">
        <v>247</v>
      </c>
    </row>
    <row r="26" spans="1:2" x14ac:dyDescent="0.35">
      <c r="A26" s="5" t="s">
        <v>52</v>
      </c>
      <c r="B26" s="7">
        <v>3301</v>
      </c>
    </row>
    <row r="27" spans="1:2" x14ac:dyDescent="0.35">
      <c r="A27" s="14" t="s">
        <v>74</v>
      </c>
      <c r="B27" s="7">
        <v>124</v>
      </c>
    </row>
    <row r="28" spans="1:2" x14ac:dyDescent="0.35">
      <c r="A28" s="14" t="s">
        <v>75</v>
      </c>
      <c r="B28" s="7">
        <v>306</v>
      </c>
    </row>
    <row r="29" spans="1:2" x14ac:dyDescent="0.35">
      <c r="A29" s="14" t="s">
        <v>76</v>
      </c>
      <c r="B29" s="7">
        <v>155</v>
      </c>
    </row>
    <row r="30" spans="1:2" x14ac:dyDescent="0.35">
      <c r="A30" s="14" t="s">
        <v>77</v>
      </c>
      <c r="B30" s="7">
        <v>207</v>
      </c>
    </row>
    <row r="31" spans="1:2" x14ac:dyDescent="0.35">
      <c r="A31" s="14" t="s">
        <v>78</v>
      </c>
      <c r="B31" s="7">
        <v>131</v>
      </c>
    </row>
    <row r="32" spans="1:2" x14ac:dyDescent="0.35">
      <c r="A32" s="14" t="s">
        <v>79</v>
      </c>
      <c r="B32" s="7">
        <v>103</v>
      </c>
    </row>
    <row r="33" spans="1:2" x14ac:dyDescent="0.35">
      <c r="A33" s="14" t="s">
        <v>80</v>
      </c>
      <c r="B33" s="7">
        <v>212</v>
      </c>
    </row>
    <row r="34" spans="1:2" x14ac:dyDescent="0.35">
      <c r="A34" s="14" t="s">
        <v>81</v>
      </c>
      <c r="B34" s="7">
        <v>109</v>
      </c>
    </row>
    <row r="35" spans="1:2" x14ac:dyDescent="0.35">
      <c r="A35" s="14" t="s">
        <v>82</v>
      </c>
      <c r="B35" s="7">
        <v>139</v>
      </c>
    </row>
    <row r="36" spans="1:2" x14ac:dyDescent="0.35">
      <c r="A36" s="14" t="s">
        <v>83</v>
      </c>
      <c r="B36" s="7">
        <v>215</v>
      </c>
    </row>
    <row r="37" spans="1:2" x14ac:dyDescent="0.35">
      <c r="A37" s="14" t="s">
        <v>84</v>
      </c>
      <c r="B37" s="7">
        <v>113</v>
      </c>
    </row>
    <row r="38" spans="1:2" x14ac:dyDescent="0.35">
      <c r="A38" s="14" t="s">
        <v>85</v>
      </c>
      <c r="B38" s="7">
        <v>280</v>
      </c>
    </row>
    <row r="39" spans="1:2" x14ac:dyDescent="0.35">
      <c r="A39" s="14" t="s">
        <v>86</v>
      </c>
      <c r="B39" s="7">
        <v>104</v>
      </c>
    </row>
    <row r="40" spans="1:2" x14ac:dyDescent="0.35">
      <c r="A40" s="14" t="s">
        <v>87</v>
      </c>
      <c r="B40" s="7">
        <v>145</v>
      </c>
    </row>
    <row r="41" spans="1:2" x14ac:dyDescent="0.35">
      <c r="A41" s="14" t="s">
        <v>88</v>
      </c>
      <c r="B41" s="7">
        <v>162</v>
      </c>
    </row>
    <row r="42" spans="1:2" x14ac:dyDescent="0.35">
      <c r="A42" s="14" t="s">
        <v>89</v>
      </c>
      <c r="B42" s="7">
        <v>140</v>
      </c>
    </row>
    <row r="43" spans="1:2" x14ac:dyDescent="0.35">
      <c r="A43" s="14" t="s">
        <v>90</v>
      </c>
      <c r="B43" s="7">
        <v>88</v>
      </c>
    </row>
    <row r="44" spans="1:2" x14ac:dyDescent="0.35">
      <c r="A44" s="14" t="s">
        <v>91</v>
      </c>
      <c r="B44" s="7">
        <v>105</v>
      </c>
    </row>
    <row r="45" spans="1:2" x14ac:dyDescent="0.35">
      <c r="A45" s="14" t="s">
        <v>92</v>
      </c>
      <c r="B45" s="7">
        <v>248</v>
      </c>
    </row>
    <row r="46" spans="1:2" x14ac:dyDescent="0.35">
      <c r="A46" s="14" t="s">
        <v>93</v>
      </c>
      <c r="B46" s="7">
        <v>215</v>
      </c>
    </row>
    <row r="47" spans="1:2" x14ac:dyDescent="0.35">
      <c r="A47" s="5" t="s">
        <v>47</v>
      </c>
      <c r="B47" s="7">
        <v>6890</v>
      </c>
    </row>
  </sheetData>
  <pageMargins left="0.7" right="0.7" top="0.75" bottom="0.75" header="0.3" footer="0.3"/>
  <pageSetup paperSize="9"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63"/>
  <sheetViews>
    <sheetView workbookViewId="0">
      <selection activeCell="F1" sqref="F1"/>
    </sheetView>
  </sheetViews>
  <sheetFormatPr defaultRowHeight="14.5" x14ac:dyDescent="0.35"/>
  <cols>
    <col min="1" max="1" width="10.453125" bestFit="1" customWidth="1"/>
    <col min="2" max="2" width="12.54296875" customWidth="1"/>
    <col min="3" max="3" width="11.54296875" customWidth="1"/>
    <col min="5" max="5" width="23.26953125" bestFit="1" customWidth="1"/>
    <col min="6" max="6" width="13.08984375" customWidth="1"/>
  </cols>
  <sheetData>
    <row r="1" spans="1:7" x14ac:dyDescent="0.35">
      <c r="A1" s="3" t="s">
        <v>33</v>
      </c>
      <c r="B1" s="3" t="s">
        <v>32</v>
      </c>
      <c r="C1" s="3" t="s">
        <v>34</v>
      </c>
      <c r="D1" s="3" t="s">
        <v>35</v>
      </c>
      <c r="E1" s="3" t="s">
        <v>36</v>
      </c>
      <c r="F1" s="3" t="s">
        <v>37</v>
      </c>
      <c r="G1" s="3" t="s">
        <v>38</v>
      </c>
    </row>
    <row r="2" spans="1:7" x14ac:dyDescent="0.35">
      <c r="A2" s="1">
        <v>45696</v>
      </c>
      <c r="B2" s="2">
        <v>0.60143518518518524</v>
      </c>
      <c r="C2" t="s">
        <v>0</v>
      </c>
      <c r="D2">
        <v>15</v>
      </c>
      <c r="E2" t="s">
        <v>1</v>
      </c>
      <c r="F2" t="str">
        <f>TEXT(A2,"ddd")</f>
        <v>Sat</v>
      </c>
      <c r="G2" t="str">
        <f>TEXT(A2, "mmm")</f>
        <v>Feb</v>
      </c>
    </row>
    <row r="3" spans="1:7" x14ac:dyDescent="0.35">
      <c r="A3" s="1">
        <v>45696</v>
      </c>
      <c r="B3" s="2">
        <v>0.60307870370370364</v>
      </c>
      <c r="C3" t="s">
        <v>0</v>
      </c>
      <c r="D3">
        <v>15</v>
      </c>
      <c r="E3" t="s">
        <v>1</v>
      </c>
      <c r="F3" t="str">
        <f t="shared" ref="F3:F66" si="0">TEXT(A3,"ddd")</f>
        <v>Sat</v>
      </c>
      <c r="G3" t="str">
        <f t="shared" ref="G3:G66" si="1">TEXT(A3, "mmm")</f>
        <v>Feb</v>
      </c>
    </row>
    <row r="4" spans="1:7" x14ac:dyDescent="0.35">
      <c r="A4" s="1">
        <v>45696</v>
      </c>
      <c r="B4" s="2">
        <v>0.60629629629629633</v>
      </c>
      <c r="C4" t="s">
        <v>2</v>
      </c>
      <c r="D4">
        <v>20</v>
      </c>
      <c r="E4" t="s">
        <v>3</v>
      </c>
      <c r="F4" t="str">
        <f t="shared" si="0"/>
        <v>Sat</v>
      </c>
      <c r="G4" t="str">
        <f t="shared" si="1"/>
        <v>Feb</v>
      </c>
    </row>
    <row r="5" spans="1:7" x14ac:dyDescent="0.35">
      <c r="A5" s="1">
        <v>45696</v>
      </c>
      <c r="B5" s="2">
        <v>0.66046296296296292</v>
      </c>
      <c r="C5" t="s">
        <v>2</v>
      </c>
      <c r="D5">
        <v>30</v>
      </c>
      <c r="E5" t="s">
        <v>4</v>
      </c>
      <c r="F5" t="str">
        <f t="shared" si="0"/>
        <v>Sat</v>
      </c>
      <c r="G5" t="str">
        <f t="shared" si="1"/>
        <v>Feb</v>
      </c>
    </row>
    <row r="6" spans="1:7" x14ac:dyDescent="0.35">
      <c r="A6" s="1">
        <v>45696</v>
      </c>
      <c r="B6" s="2">
        <v>0.69098379629629625</v>
      </c>
      <c r="C6" t="s">
        <v>0</v>
      </c>
      <c r="D6">
        <v>27</v>
      </c>
      <c r="E6" t="s">
        <v>5</v>
      </c>
      <c r="F6" t="str">
        <f t="shared" si="0"/>
        <v>Sat</v>
      </c>
      <c r="G6" t="str">
        <f t="shared" si="1"/>
        <v>Feb</v>
      </c>
    </row>
    <row r="7" spans="1:7" x14ac:dyDescent="0.35">
      <c r="A7" s="1">
        <v>45696</v>
      </c>
      <c r="B7" s="2">
        <v>0.7885416666666667</v>
      </c>
      <c r="C7" t="s">
        <v>2</v>
      </c>
      <c r="D7">
        <v>33</v>
      </c>
      <c r="E7" t="s">
        <v>3</v>
      </c>
      <c r="F7" t="str">
        <f t="shared" si="0"/>
        <v>Sat</v>
      </c>
      <c r="G7" t="str">
        <f t="shared" si="1"/>
        <v>Feb</v>
      </c>
    </row>
    <row r="8" spans="1:7" x14ac:dyDescent="0.35">
      <c r="A8" s="1">
        <v>45696</v>
      </c>
      <c r="B8" s="2">
        <v>0.79100694444444442</v>
      </c>
      <c r="C8" t="s">
        <v>0</v>
      </c>
      <c r="D8">
        <v>29</v>
      </c>
      <c r="E8" t="s">
        <v>6</v>
      </c>
      <c r="F8" t="str">
        <f t="shared" si="0"/>
        <v>Sat</v>
      </c>
      <c r="G8" t="str">
        <f t="shared" si="1"/>
        <v>Feb</v>
      </c>
    </row>
    <row r="9" spans="1:7" x14ac:dyDescent="0.35">
      <c r="A9" s="1">
        <v>45696</v>
      </c>
      <c r="B9" s="2">
        <v>0.79199074074074083</v>
      </c>
      <c r="C9" t="s">
        <v>0</v>
      </c>
      <c r="D9">
        <v>27</v>
      </c>
      <c r="E9" t="s">
        <v>7</v>
      </c>
      <c r="F9" t="str">
        <f t="shared" si="0"/>
        <v>Sat</v>
      </c>
      <c r="G9" t="str">
        <f t="shared" si="1"/>
        <v>Feb</v>
      </c>
    </row>
    <row r="10" spans="1:7" x14ac:dyDescent="0.35">
      <c r="A10" s="1">
        <v>45697</v>
      </c>
      <c r="B10" s="2">
        <v>0.36510416666666662</v>
      </c>
      <c r="C10" t="s">
        <v>2</v>
      </c>
      <c r="D10">
        <v>28</v>
      </c>
      <c r="E10" t="s">
        <v>8</v>
      </c>
      <c r="F10" t="str">
        <f t="shared" si="0"/>
        <v>Sun</v>
      </c>
      <c r="G10" t="str">
        <f t="shared" si="1"/>
        <v>Feb</v>
      </c>
    </row>
    <row r="11" spans="1:7" x14ac:dyDescent="0.35">
      <c r="A11" s="1">
        <v>45697</v>
      </c>
      <c r="B11" s="2">
        <v>0.44555555555555554</v>
      </c>
      <c r="C11" t="s">
        <v>0</v>
      </c>
      <c r="D11">
        <v>30</v>
      </c>
      <c r="E11" t="s">
        <v>4</v>
      </c>
      <c r="F11" t="str">
        <f t="shared" si="0"/>
        <v>Sun</v>
      </c>
      <c r="G11" t="str">
        <f t="shared" si="1"/>
        <v>Feb</v>
      </c>
    </row>
    <row r="12" spans="1:7" x14ac:dyDescent="0.35">
      <c r="A12" s="1">
        <v>45697</v>
      </c>
      <c r="B12" s="2">
        <v>0.44646990740740744</v>
      </c>
      <c r="C12" t="s">
        <v>0</v>
      </c>
      <c r="D12">
        <v>27</v>
      </c>
      <c r="E12" t="s">
        <v>9</v>
      </c>
      <c r="F12" t="str">
        <f t="shared" si="0"/>
        <v>Sun</v>
      </c>
      <c r="G12" t="str">
        <f t="shared" si="1"/>
        <v>Feb</v>
      </c>
    </row>
    <row r="13" spans="1:7" x14ac:dyDescent="0.35">
      <c r="A13" s="1">
        <v>45697</v>
      </c>
      <c r="B13" s="2">
        <v>0.5131134259259259</v>
      </c>
      <c r="C13" t="s">
        <v>0</v>
      </c>
      <c r="D13">
        <v>25</v>
      </c>
      <c r="E13" t="s">
        <v>10</v>
      </c>
      <c r="F13" t="str">
        <f t="shared" si="0"/>
        <v>Sun</v>
      </c>
      <c r="G13" t="str">
        <f t="shared" si="1"/>
        <v>Feb</v>
      </c>
    </row>
    <row r="14" spans="1:7" x14ac:dyDescent="0.35">
      <c r="A14" s="1">
        <v>45697</v>
      </c>
      <c r="B14" s="2">
        <v>0.56175925925925929</v>
      </c>
      <c r="C14" t="s">
        <v>2</v>
      </c>
      <c r="D14">
        <v>20</v>
      </c>
      <c r="E14" t="s">
        <v>3</v>
      </c>
      <c r="F14" t="str">
        <f t="shared" si="0"/>
        <v>Sun</v>
      </c>
      <c r="G14" t="str">
        <f t="shared" si="1"/>
        <v>Feb</v>
      </c>
    </row>
    <row r="15" spans="1:7" x14ac:dyDescent="0.35">
      <c r="A15" s="1">
        <v>45697</v>
      </c>
      <c r="B15" s="2">
        <v>0.6366666666666666</v>
      </c>
      <c r="C15" t="s">
        <v>2</v>
      </c>
      <c r="D15">
        <v>30</v>
      </c>
      <c r="E15" t="s">
        <v>11</v>
      </c>
      <c r="F15" t="str">
        <f t="shared" si="0"/>
        <v>Sun</v>
      </c>
      <c r="G15" t="str">
        <f t="shared" si="1"/>
        <v>Feb</v>
      </c>
    </row>
    <row r="16" spans="1:7" x14ac:dyDescent="0.35">
      <c r="A16" s="1">
        <v>45697</v>
      </c>
      <c r="B16" s="2">
        <v>0.65505787037037033</v>
      </c>
      <c r="C16" t="s">
        <v>2</v>
      </c>
      <c r="D16">
        <v>32</v>
      </c>
      <c r="E16" t="s">
        <v>12</v>
      </c>
      <c r="F16" t="str">
        <f t="shared" si="0"/>
        <v>Sun</v>
      </c>
      <c r="G16" t="str">
        <f t="shared" si="1"/>
        <v>Feb</v>
      </c>
    </row>
    <row r="17" spans="1:7" x14ac:dyDescent="0.35">
      <c r="A17" s="1">
        <v>45697</v>
      </c>
      <c r="B17" s="2">
        <v>0.67668981481481483</v>
      </c>
      <c r="C17" t="s">
        <v>2</v>
      </c>
      <c r="D17">
        <v>28</v>
      </c>
      <c r="E17" t="s">
        <v>8</v>
      </c>
      <c r="F17" t="str">
        <f t="shared" si="0"/>
        <v>Sun</v>
      </c>
      <c r="G17" t="str">
        <f t="shared" si="1"/>
        <v>Feb</v>
      </c>
    </row>
    <row r="18" spans="1:7" x14ac:dyDescent="0.35">
      <c r="A18" s="1">
        <v>45697</v>
      </c>
      <c r="B18" s="2">
        <v>0.6832407407407407</v>
      </c>
      <c r="C18" t="s">
        <v>2</v>
      </c>
      <c r="D18">
        <v>28</v>
      </c>
      <c r="E18" t="s">
        <v>13</v>
      </c>
      <c r="F18" t="str">
        <f t="shared" si="0"/>
        <v>Sun</v>
      </c>
      <c r="G18" t="str">
        <f t="shared" si="1"/>
        <v>Feb</v>
      </c>
    </row>
    <row r="19" spans="1:7" x14ac:dyDescent="0.35">
      <c r="A19" s="1">
        <v>45697</v>
      </c>
      <c r="B19" s="2">
        <v>0.68420138888888893</v>
      </c>
      <c r="C19" t="s">
        <v>2</v>
      </c>
      <c r="D19">
        <v>33</v>
      </c>
      <c r="E19" t="s">
        <v>14</v>
      </c>
      <c r="F19" t="str">
        <f t="shared" si="0"/>
        <v>Sun</v>
      </c>
      <c r="G19" t="str">
        <f t="shared" si="1"/>
        <v>Feb</v>
      </c>
    </row>
    <row r="20" spans="1:7" x14ac:dyDescent="0.35">
      <c r="A20" s="1">
        <v>45697</v>
      </c>
      <c r="B20" s="2">
        <v>0.74116898148148147</v>
      </c>
      <c r="C20" t="s">
        <v>2</v>
      </c>
      <c r="D20">
        <v>33</v>
      </c>
      <c r="E20" t="s">
        <v>14</v>
      </c>
      <c r="F20" t="str">
        <f t="shared" si="0"/>
        <v>Sun</v>
      </c>
      <c r="G20" t="str">
        <f t="shared" si="1"/>
        <v>Feb</v>
      </c>
    </row>
    <row r="21" spans="1:7" x14ac:dyDescent="0.35">
      <c r="A21" s="1">
        <v>45697</v>
      </c>
      <c r="B21" s="2">
        <v>0.75094907407407396</v>
      </c>
      <c r="C21" t="s">
        <v>2</v>
      </c>
      <c r="D21">
        <v>25</v>
      </c>
      <c r="E21" t="s">
        <v>10</v>
      </c>
      <c r="F21" t="str">
        <f t="shared" si="0"/>
        <v>Sun</v>
      </c>
      <c r="G21" t="str">
        <f t="shared" si="1"/>
        <v>Feb</v>
      </c>
    </row>
    <row r="22" spans="1:7" x14ac:dyDescent="0.35">
      <c r="A22" s="1">
        <v>45697</v>
      </c>
      <c r="B22" s="2">
        <v>0.75094907407407396</v>
      </c>
      <c r="C22" t="s">
        <v>2</v>
      </c>
      <c r="D22">
        <v>33</v>
      </c>
      <c r="E22" t="s">
        <v>14</v>
      </c>
      <c r="F22" t="str">
        <f t="shared" si="0"/>
        <v>Sun</v>
      </c>
      <c r="G22" t="str">
        <f t="shared" si="1"/>
        <v>Feb</v>
      </c>
    </row>
    <row r="23" spans="1:7" x14ac:dyDescent="0.35">
      <c r="A23" s="1">
        <v>45697</v>
      </c>
      <c r="B23" s="2">
        <v>0.75094907407407396</v>
      </c>
      <c r="C23" t="s">
        <v>2</v>
      </c>
      <c r="D23">
        <v>15</v>
      </c>
      <c r="E23" t="s">
        <v>1</v>
      </c>
      <c r="F23" t="str">
        <f t="shared" si="0"/>
        <v>Sun</v>
      </c>
      <c r="G23" t="str">
        <f t="shared" si="1"/>
        <v>Feb</v>
      </c>
    </row>
    <row r="24" spans="1:7" x14ac:dyDescent="0.35">
      <c r="A24" s="1">
        <v>45697</v>
      </c>
      <c r="B24" s="2">
        <v>0.75184027777777773</v>
      </c>
      <c r="C24" t="s">
        <v>2</v>
      </c>
      <c r="D24">
        <v>28</v>
      </c>
      <c r="E24" t="s">
        <v>13</v>
      </c>
      <c r="F24" t="str">
        <f t="shared" si="0"/>
        <v>Sun</v>
      </c>
      <c r="G24" t="str">
        <f t="shared" si="1"/>
        <v>Feb</v>
      </c>
    </row>
    <row r="25" spans="1:7" x14ac:dyDescent="0.35">
      <c r="A25" s="1">
        <v>45697</v>
      </c>
      <c r="B25" s="2">
        <v>0.82680555555555557</v>
      </c>
      <c r="C25" t="s">
        <v>0</v>
      </c>
      <c r="D25">
        <v>29</v>
      </c>
      <c r="E25" t="s">
        <v>6</v>
      </c>
      <c r="F25" t="str">
        <f t="shared" si="0"/>
        <v>Sun</v>
      </c>
      <c r="G25" t="str">
        <f t="shared" si="1"/>
        <v>Feb</v>
      </c>
    </row>
    <row r="26" spans="1:7" x14ac:dyDescent="0.35">
      <c r="A26" s="1">
        <v>45698</v>
      </c>
      <c r="B26" s="2">
        <v>0.39313657407407404</v>
      </c>
      <c r="C26" t="s">
        <v>0</v>
      </c>
      <c r="D26">
        <v>25</v>
      </c>
      <c r="E26" t="s">
        <v>15</v>
      </c>
      <c r="F26" t="str">
        <f t="shared" si="0"/>
        <v>Mon</v>
      </c>
      <c r="G26" t="str">
        <f t="shared" si="1"/>
        <v>Feb</v>
      </c>
    </row>
    <row r="27" spans="1:7" x14ac:dyDescent="0.35">
      <c r="A27" s="1">
        <v>45698</v>
      </c>
      <c r="B27" s="2">
        <v>0.51842592592592596</v>
      </c>
      <c r="C27" t="s">
        <v>0</v>
      </c>
      <c r="D27">
        <v>25</v>
      </c>
      <c r="E27" t="s">
        <v>15</v>
      </c>
      <c r="F27" t="str">
        <f t="shared" si="0"/>
        <v>Mon</v>
      </c>
      <c r="G27" t="str">
        <f t="shared" si="1"/>
        <v>Feb</v>
      </c>
    </row>
    <row r="28" spans="1:7" x14ac:dyDescent="0.35">
      <c r="A28" s="1">
        <v>45698</v>
      </c>
      <c r="B28" s="2">
        <v>0.76491898148148152</v>
      </c>
      <c r="C28" t="s">
        <v>0</v>
      </c>
      <c r="D28">
        <v>27</v>
      </c>
      <c r="E28" t="s">
        <v>5</v>
      </c>
      <c r="F28" t="str">
        <f t="shared" si="0"/>
        <v>Mon</v>
      </c>
      <c r="G28" t="str">
        <f t="shared" si="1"/>
        <v>Feb</v>
      </c>
    </row>
    <row r="29" spans="1:7" x14ac:dyDescent="0.35">
      <c r="A29" s="1">
        <v>45699</v>
      </c>
      <c r="B29" s="2">
        <v>0.40928240740740746</v>
      </c>
      <c r="C29" t="s">
        <v>2</v>
      </c>
      <c r="D29">
        <v>15</v>
      </c>
      <c r="E29" t="s">
        <v>1</v>
      </c>
      <c r="F29" t="str">
        <f t="shared" si="0"/>
        <v>Tue</v>
      </c>
      <c r="G29" t="str">
        <f t="shared" si="1"/>
        <v>Feb</v>
      </c>
    </row>
    <row r="30" spans="1:7" x14ac:dyDescent="0.35">
      <c r="A30" s="1">
        <v>45699</v>
      </c>
      <c r="B30" s="2">
        <v>0.77465277777777775</v>
      </c>
      <c r="C30" t="s">
        <v>2</v>
      </c>
      <c r="D30">
        <v>25</v>
      </c>
      <c r="E30" t="s">
        <v>15</v>
      </c>
      <c r="F30" t="str">
        <f t="shared" si="0"/>
        <v>Tue</v>
      </c>
      <c r="G30" t="str">
        <f t="shared" si="1"/>
        <v>Feb</v>
      </c>
    </row>
    <row r="31" spans="1:7" x14ac:dyDescent="0.35">
      <c r="A31" s="1">
        <v>45700</v>
      </c>
      <c r="B31" s="2">
        <v>0.74844907407407402</v>
      </c>
      <c r="C31" t="s">
        <v>0</v>
      </c>
      <c r="D31">
        <v>27</v>
      </c>
      <c r="E31" t="s">
        <v>5</v>
      </c>
      <c r="F31" t="str">
        <f t="shared" si="0"/>
        <v>Wed</v>
      </c>
      <c r="G31" t="str">
        <f t="shared" si="1"/>
        <v>Feb</v>
      </c>
    </row>
    <row r="32" spans="1:7" x14ac:dyDescent="0.35">
      <c r="A32" s="1">
        <v>45701</v>
      </c>
      <c r="B32" s="2">
        <v>0.32996527777777779</v>
      </c>
      <c r="C32" t="s">
        <v>2</v>
      </c>
      <c r="D32">
        <v>33</v>
      </c>
      <c r="E32" t="s">
        <v>14</v>
      </c>
      <c r="F32" t="str">
        <f t="shared" si="0"/>
        <v>Thu</v>
      </c>
      <c r="G32" t="str">
        <f t="shared" si="1"/>
        <v>Feb</v>
      </c>
    </row>
    <row r="33" spans="1:7" x14ac:dyDescent="0.35">
      <c r="A33" s="1">
        <v>45701</v>
      </c>
      <c r="B33" s="2">
        <v>0.34182870370370372</v>
      </c>
      <c r="C33" t="s">
        <v>2</v>
      </c>
      <c r="D33">
        <v>32</v>
      </c>
      <c r="E33" t="s">
        <v>12</v>
      </c>
      <c r="F33" t="str">
        <f t="shared" si="0"/>
        <v>Thu</v>
      </c>
      <c r="G33" t="str">
        <f t="shared" si="1"/>
        <v>Feb</v>
      </c>
    </row>
    <row r="34" spans="1:7" x14ac:dyDescent="0.35">
      <c r="A34" s="1">
        <v>45701</v>
      </c>
      <c r="B34" s="2">
        <v>0.36652777777777779</v>
      </c>
      <c r="C34" t="s">
        <v>2</v>
      </c>
      <c r="D34">
        <v>30</v>
      </c>
      <c r="E34" t="s">
        <v>11</v>
      </c>
      <c r="F34" t="str">
        <f t="shared" si="0"/>
        <v>Thu</v>
      </c>
      <c r="G34" t="str">
        <f t="shared" si="1"/>
        <v>Feb</v>
      </c>
    </row>
    <row r="35" spans="1:7" x14ac:dyDescent="0.35">
      <c r="A35" s="1">
        <v>45701</v>
      </c>
      <c r="B35" s="2">
        <v>0.43615740740740744</v>
      </c>
      <c r="C35" t="s">
        <v>2</v>
      </c>
      <c r="D35">
        <v>25</v>
      </c>
      <c r="E35" t="s">
        <v>10</v>
      </c>
      <c r="F35" t="str">
        <f t="shared" si="0"/>
        <v>Thu</v>
      </c>
      <c r="G35" t="str">
        <f t="shared" si="1"/>
        <v>Feb</v>
      </c>
    </row>
    <row r="36" spans="1:7" x14ac:dyDescent="0.35">
      <c r="A36" s="1">
        <v>45702</v>
      </c>
      <c r="B36" s="2">
        <v>0.52332175925925928</v>
      </c>
      <c r="C36" t="s">
        <v>2</v>
      </c>
      <c r="D36">
        <v>20</v>
      </c>
      <c r="E36" t="s">
        <v>3</v>
      </c>
      <c r="F36" t="str">
        <f t="shared" si="0"/>
        <v>Fri</v>
      </c>
      <c r="G36" t="str">
        <f t="shared" si="1"/>
        <v>Feb</v>
      </c>
    </row>
    <row r="37" spans="1:7" x14ac:dyDescent="0.35">
      <c r="A37" s="1">
        <v>45702</v>
      </c>
      <c r="B37" s="2">
        <v>0.60275462962962967</v>
      </c>
      <c r="C37" t="s">
        <v>0</v>
      </c>
      <c r="D37">
        <v>20</v>
      </c>
      <c r="E37" t="s">
        <v>3</v>
      </c>
      <c r="F37" t="str">
        <f t="shared" si="0"/>
        <v>Fri</v>
      </c>
      <c r="G37" t="str">
        <f t="shared" si="1"/>
        <v>Feb</v>
      </c>
    </row>
    <row r="38" spans="1:7" x14ac:dyDescent="0.35">
      <c r="A38" s="1">
        <v>45702</v>
      </c>
      <c r="B38" s="2">
        <v>0.60672453703703699</v>
      </c>
      <c r="C38" t="s">
        <v>2</v>
      </c>
      <c r="D38">
        <v>28</v>
      </c>
      <c r="E38" t="s">
        <v>8</v>
      </c>
      <c r="F38" t="str">
        <f t="shared" si="0"/>
        <v>Fri</v>
      </c>
      <c r="G38" t="str">
        <f t="shared" si="1"/>
        <v>Feb</v>
      </c>
    </row>
    <row r="39" spans="1:7" x14ac:dyDescent="0.35">
      <c r="A39" s="1">
        <v>45702</v>
      </c>
      <c r="B39" s="2">
        <v>0.67332175925925919</v>
      </c>
      <c r="C39" t="s">
        <v>0</v>
      </c>
      <c r="D39">
        <v>20</v>
      </c>
      <c r="E39" t="s">
        <v>3</v>
      </c>
      <c r="F39" t="str">
        <f t="shared" si="0"/>
        <v>Fri</v>
      </c>
      <c r="G39" t="str">
        <f t="shared" si="1"/>
        <v>Feb</v>
      </c>
    </row>
    <row r="40" spans="1:7" x14ac:dyDescent="0.35">
      <c r="A40" s="1">
        <v>45702</v>
      </c>
      <c r="B40" s="2">
        <v>0.79322916666666676</v>
      </c>
      <c r="C40" t="s">
        <v>2</v>
      </c>
      <c r="D40">
        <v>20</v>
      </c>
      <c r="E40" t="s">
        <v>3</v>
      </c>
      <c r="F40" t="str">
        <f t="shared" si="0"/>
        <v>Fri</v>
      </c>
      <c r="G40" t="str">
        <f t="shared" si="1"/>
        <v>Feb</v>
      </c>
    </row>
    <row r="41" spans="1:7" x14ac:dyDescent="0.35">
      <c r="A41" s="1">
        <v>45702</v>
      </c>
      <c r="B41" s="2">
        <v>0.80890046296296303</v>
      </c>
      <c r="C41" t="s">
        <v>0</v>
      </c>
      <c r="D41">
        <v>27</v>
      </c>
      <c r="E41" t="s">
        <v>5</v>
      </c>
      <c r="F41" t="str">
        <f t="shared" si="0"/>
        <v>Fri</v>
      </c>
      <c r="G41" t="str">
        <f t="shared" si="1"/>
        <v>Feb</v>
      </c>
    </row>
    <row r="42" spans="1:7" x14ac:dyDescent="0.35">
      <c r="A42" s="1">
        <v>45702</v>
      </c>
      <c r="B42" s="2">
        <v>0.8131828703703704</v>
      </c>
      <c r="C42" t="s">
        <v>2</v>
      </c>
      <c r="D42">
        <v>29</v>
      </c>
      <c r="E42" t="s">
        <v>6</v>
      </c>
      <c r="F42" t="str">
        <f t="shared" si="0"/>
        <v>Fri</v>
      </c>
      <c r="G42" t="str">
        <f t="shared" si="1"/>
        <v>Feb</v>
      </c>
    </row>
    <row r="43" spans="1:7" x14ac:dyDescent="0.35">
      <c r="A43" s="1">
        <v>45702</v>
      </c>
      <c r="B43" s="2">
        <v>0.82877314814814806</v>
      </c>
      <c r="C43" t="s">
        <v>2</v>
      </c>
      <c r="D43">
        <v>28</v>
      </c>
      <c r="E43" t="s">
        <v>16</v>
      </c>
      <c r="F43" t="str">
        <f t="shared" si="0"/>
        <v>Fri</v>
      </c>
      <c r="G43" t="str">
        <f t="shared" si="1"/>
        <v>Feb</v>
      </c>
    </row>
    <row r="44" spans="1:7" x14ac:dyDescent="0.35">
      <c r="A44" s="1">
        <v>45702</v>
      </c>
      <c r="B44" s="2">
        <v>0.82972222222222225</v>
      </c>
      <c r="C44" t="s">
        <v>2</v>
      </c>
      <c r="D44">
        <v>28</v>
      </c>
      <c r="E44" t="s">
        <v>8</v>
      </c>
      <c r="F44" t="str">
        <f t="shared" si="0"/>
        <v>Fri</v>
      </c>
      <c r="G44" t="str">
        <f t="shared" si="1"/>
        <v>Feb</v>
      </c>
    </row>
    <row r="45" spans="1:7" x14ac:dyDescent="0.35">
      <c r="A45" s="1">
        <v>45703</v>
      </c>
      <c r="B45" s="2">
        <v>0.40207175925925925</v>
      </c>
      <c r="C45" t="s">
        <v>2</v>
      </c>
      <c r="D45">
        <v>25</v>
      </c>
      <c r="E45" t="s">
        <v>15</v>
      </c>
      <c r="F45" t="str">
        <f t="shared" si="0"/>
        <v>Sat</v>
      </c>
      <c r="G45" t="str">
        <f t="shared" si="1"/>
        <v>Feb</v>
      </c>
    </row>
    <row r="46" spans="1:7" x14ac:dyDescent="0.35">
      <c r="A46" s="1">
        <v>45703</v>
      </c>
      <c r="B46" s="2">
        <v>0.46593749999999995</v>
      </c>
      <c r="C46" t="s">
        <v>2</v>
      </c>
      <c r="D46">
        <v>27</v>
      </c>
      <c r="E46" t="s">
        <v>17</v>
      </c>
      <c r="F46" t="str">
        <f t="shared" si="0"/>
        <v>Sat</v>
      </c>
      <c r="G46" t="str">
        <f t="shared" si="1"/>
        <v>Feb</v>
      </c>
    </row>
    <row r="47" spans="1:7" x14ac:dyDescent="0.35">
      <c r="A47" s="1">
        <v>45703</v>
      </c>
      <c r="B47" s="2">
        <v>0.57196759259259256</v>
      </c>
      <c r="C47" t="s">
        <v>0</v>
      </c>
      <c r="D47">
        <v>30</v>
      </c>
      <c r="E47" t="s">
        <v>18</v>
      </c>
      <c r="F47" t="str">
        <f t="shared" si="0"/>
        <v>Sat</v>
      </c>
      <c r="G47" t="str">
        <f t="shared" si="1"/>
        <v>Feb</v>
      </c>
    </row>
    <row r="48" spans="1:7" x14ac:dyDescent="0.35">
      <c r="A48" s="1">
        <v>45703</v>
      </c>
      <c r="B48" s="2">
        <v>0.57305555555555554</v>
      </c>
      <c r="C48" t="s">
        <v>0</v>
      </c>
      <c r="D48">
        <v>27</v>
      </c>
      <c r="E48" t="s">
        <v>7</v>
      </c>
      <c r="F48" t="str">
        <f t="shared" si="0"/>
        <v>Sat</v>
      </c>
      <c r="G48" t="str">
        <f t="shared" si="1"/>
        <v>Feb</v>
      </c>
    </row>
    <row r="49" spans="1:7" x14ac:dyDescent="0.35">
      <c r="A49" s="1">
        <v>45703</v>
      </c>
      <c r="B49" s="2">
        <v>0.64819444444444441</v>
      </c>
      <c r="C49" t="s">
        <v>2</v>
      </c>
      <c r="D49">
        <v>15</v>
      </c>
      <c r="E49" t="s">
        <v>1</v>
      </c>
      <c r="F49" t="str">
        <f t="shared" si="0"/>
        <v>Sat</v>
      </c>
      <c r="G49" t="str">
        <f t="shared" si="1"/>
        <v>Feb</v>
      </c>
    </row>
    <row r="50" spans="1:7" x14ac:dyDescent="0.35">
      <c r="A50" s="1">
        <v>45703</v>
      </c>
      <c r="B50" s="2">
        <v>0.64988425925925919</v>
      </c>
      <c r="C50" t="s">
        <v>2</v>
      </c>
      <c r="D50">
        <v>25</v>
      </c>
      <c r="E50" t="s">
        <v>10</v>
      </c>
      <c r="F50" t="str">
        <f t="shared" si="0"/>
        <v>Sat</v>
      </c>
      <c r="G50" t="str">
        <f t="shared" si="1"/>
        <v>Feb</v>
      </c>
    </row>
    <row r="51" spans="1:7" x14ac:dyDescent="0.35">
      <c r="A51" s="1">
        <v>45703</v>
      </c>
      <c r="B51" s="2">
        <v>0.65841435185185182</v>
      </c>
      <c r="C51" t="s">
        <v>2</v>
      </c>
      <c r="D51">
        <v>25</v>
      </c>
      <c r="E51" t="s">
        <v>10</v>
      </c>
      <c r="F51" t="str">
        <f t="shared" si="0"/>
        <v>Sat</v>
      </c>
      <c r="G51" t="str">
        <f t="shared" si="1"/>
        <v>Feb</v>
      </c>
    </row>
    <row r="52" spans="1:7" x14ac:dyDescent="0.35">
      <c r="A52" s="1">
        <v>45704</v>
      </c>
      <c r="B52" s="2">
        <v>0.69229166666666664</v>
      </c>
      <c r="C52" t="s">
        <v>2</v>
      </c>
      <c r="D52">
        <v>33</v>
      </c>
      <c r="E52" t="s">
        <v>14</v>
      </c>
      <c r="F52" t="str">
        <f t="shared" si="0"/>
        <v>Sun</v>
      </c>
      <c r="G52" t="str">
        <f t="shared" si="1"/>
        <v>Feb</v>
      </c>
    </row>
    <row r="53" spans="1:7" x14ac:dyDescent="0.35">
      <c r="A53" s="1">
        <v>45704</v>
      </c>
      <c r="B53" s="2">
        <v>0.6934027777777777</v>
      </c>
      <c r="C53" t="s">
        <v>2</v>
      </c>
      <c r="D53">
        <v>28</v>
      </c>
      <c r="E53" t="s">
        <v>19</v>
      </c>
      <c r="F53" t="str">
        <f t="shared" si="0"/>
        <v>Sun</v>
      </c>
      <c r="G53" t="str">
        <f t="shared" si="1"/>
        <v>Feb</v>
      </c>
    </row>
    <row r="54" spans="1:7" x14ac:dyDescent="0.35">
      <c r="A54" s="1">
        <v>45704</v>
      </c>
      <c r="B54" s="2">
        <v>0.69534722222222223</v>
      </c>
      <c r="C54" t="s">
        <v>0</v>
      </c>
      <c r="D54">
        <v>25</v>
      </c>
      <c r="E54" t="s">
        <v>20</v>
      </c>
      <c r="F54" t="str">
        <f t="shared" si="0"/>
        <v>Sun</v>
      </c>
      <c r="G54" t="str">
        <f t="shared" si="1"/>
        <v>Feb</v>
      </c>
    </row>
    <row r="55" spans="1:7" x14ac:dyDescent="0.35">
      <c r="A55" s="1">
        <v>45704</v>
      </c>
      <c r="B55" s="2">
        <v>0.69534722222222223</v>
      </c>
      <c r="C55" t="s">
        <v>0</v>
      </c>
      <c r="D55">
        <v>20</v>
      </c>
      <c r="E55" t="s">
        <v>17</v>
      </c>
      <c r="F55" t="str">
        <f t="shared" si="0"/>
        <v>Sun</v>
      </c>
      <c r="G55" t="str">
        <f t="shared" si="1"/>
        <v>Feb</v>
      </c>
    </row>
    <row r="56" spans="1:7" x14ac:dyDescent="0.35">
      <c r="A56" s="1">
        <v>45704</v>
      </c>
      <c r="B56" s="2">
        <v>0.81288194444444439</v>
      </c>
      <c r="C56" t="s">
        <v>2</v>
      </c>
      <c r="D56">
        <v>33</v>
      </c>
      <c r="E56" t="s">
        <v>14</v>
      </c>
      <c r="F56" t="str">
        <f t="shared" si="0"/>
        <v>Sun</v>
      </c>
      <c r="G56" t="str">
        <f t="shared" si="1"/>
        <v>Feb</v>
      </c>
    </row>
    <row r="57" spans="1:7" x14ac:dyDescent="0.35">
      <c r="A57" s="1">
        <v>45704</v>
      </c>
      <c r="B57" s="2">
        <v>0.95903935185185185</v>
      </c>
      <c r="C57" t="s">
        <v>2</v>
      </c>
      <c r="D57">
        <v>29</v>
      </c>
      <c r="E57" t="s">
        <v>6</v>
      </c>
      <c r="F57" t="str">
        <f t="shared" si="0"/>
        <v>Sun</v>
      </c>
      <c r="G57" t="str">
        <f t="shared" si="1"/>
        <v>Feb</v>
      </c>
    </row>
    <row r="58" spans="1:7" x14ac:dyDescent="0.35">
      <c r="A58" s="1">
        <v>45704</v>
      </c>
      <c r="B58" s="2">
        <v>0.96090277777777777</v>
      </c>
      <c r="C58" t="s">
        <v>2</v>
      </c>
      <c r="D58">
        <v>30</v>
      </c>
      <c r="E58" t="s">
        <v>11</v>
      </c>
      <c r="F58" t="str">
        <f t="shared" si="0"/>
        <v>Sun</v>
      </c>
      <c r="G58" t="str">
        <f t="shared" si="1"/>
        <v>Feb</v>
      </c>
    </row>
    <row r="59" spans="1:7" x14ac:dyDescent="0.35">
      <c r="A59" s="1">
        <v>45704</v>
      </c>
      <c r="B59" s="2">
        <v>0.96177083333333335</v>
      </c>
      <c r="C59" t="s">
        <v>2</v>
      </c>
      <c r="D59">
        <v>28</v>
      </c>
      <c r="E59" t="s">
        <v>21</v>
      </c>
      <c r="F59" t="str">
        <f t="shared" si="0"/>
        <v>Sun</v>
      </c>
      <c r="G59" t="str">
        <f t="shared" si="1"/>
        <v>Feb</v>
      </c>
    </row>
    <row r="60" spans="1:7" x14ac:dyDescent="0.35">
      <c r="A60" s="1">
        <v>45705</v>
      </c>
      <c r="B60" s="2">
        <v>0.3324537037037037</v>
      </c>
      <c r="C60" t="s">
        <v>2</v>
      </c>
      <c r="D60">
        <v>20</v>
      </c>
      <c r="E60" t="s">
        <v>3</v>
      </c>
      <c r="F60" t="str">
        <f t="shared" si="0"/>
        <v>Mon</v>
      </c>
      <c r="G60" t="str">
        <f t="shared" si="1"/>
        <v>Feb</v>
      </c>
    </row>
    <row r="61" spans="1:7" x14ac:dyDescent="0.35">
      <c r="A61" s="1">
        <v>45705</v>
      </c>
      <c r="B61" s="2">
        <v>0.34582175925925923</v>
      </c>
      <c r="C61" t="s">
        <v>0</v>
      </c>
      <c r="D61">
        <v>30</v>
      </c>
      <c r="E61" t="s">
        <v>11</v>
      </c>
      <c r="F61" t="str">
        <f t="shared" si="0"/>
        <v>Mon</v>
      </c>
      <c r="G61" t="str">
        <f t="shared" si="1"/>
        <v>Feb</v>
      </c>
    </row>
    <row r="62" spans="1:7" x14ac:dyDescent="0.35">
      <c r="A62" s="1">
        <v>45705</v>
      </c>
      <c r="B62" s="2">
        <v>0.6853125000000001</v>
      </c>
      <c r="C62" t="s">
        <v>2</v>
      </c>
      <c r="D62">
        <v>28</v>
      </c>
      <c r="E62" t="s">
        <v>13</v>
      </c>
      <c r="F62" t="str">
        <f t="shared" si="0"/>
        <v>Mon</v>
      </c>
      <c r="G62" t="str">
        <f t="shared" si="1"/>
        <v>Feb</v>
      </c>
    </row>
    <row r="63" spans="1:7" x14ac:dyDescent="0.35">
      <c r="A63" s="1">
        <v>45705</v>
      </c>
      <c r="B63" s="2">
        <v>0.70678240740740739</v>
      </c>
      <c r="C63" t="s">
        <v>0</v>
      </c>
      <c r="D63">
        <v>25</v>
      </c>
      <c r="E63" t="s">
        <v>10</v>
      </c>
      <c r="F63" t="str">
        <f t="shared" si="0"/>
        <v>Mon</v>
      </c>
      <c r="G63" t="str">
        <f t="shared" si="1"/>
        <v>Feb</v>
      </c>
    </row>
    <row r="64" spans="1:7" x14ac:dyDescent="0.35">
      <c r="A64" s="1">
        <v>45705</v>
      </c>
      <c r="B64" s="2">
        <v>0.70848379629629632</v>
      </c>
      <c r="C64" t="s">
        <v>0</v>
      </c>
      <c r="D64">
        <v>20</v>
      </c>
      <c r="E64" t="s">
        <v>3</v>
      </c>
      <c r="F64" t="str">
        <f t="shared" si="0"/>
        <v>Mon</v>
      </c>
      <c r="G64" t="str">
        <f t="shared" si="1"/>
        <v>Feb</v>
      </c>
    </row>
    <row r="65" spans="1:7" x14ac:dyDescent="0.35">
      <c r="A65" s="1">
        <v>45705</v>
      </c>
      <c r="B65" s="2">
        <v>0.74489583333333342</v>
      </c>
      <c r="C65" t="s">
        <v>2</v>
      </c>
      <c r="D65">
        <v>30</v>
      </c>
      <c r="E65" t="s">
        <v>11</v>
      </c>
      <c r="F65" t="str">
        <f t="shared" si="0"/>
        <v>Mon</v>
      </c>
      <c r="G65" t="str">
        <f t="shared" si="1"/>
        <v>Feb</v>
      </c>
    </row>
    <row r="66" spans="1:7" x14ac:dyDescent="0.35">
      <c r="A66" s="1">
        <v>45705</v>
      </c>
      <c r="B66" s="2">
        <v>0.76849537037037041</v>
      </c>
      <c r="C66" t="s">
        <v>0</v>
      </c>
      <c r="D66">
        <v>29</v>
      </c>
      <c r="E66" t="s">
        <v>6</v>
      </c>
      <c r="F66" t="str">
        <f t="shared" si="0"/>
        <v>Mon</v>
      </c>
      <c r="G66" t="str">
        <f t="shared" si="1"/>
        <v>Feb</v>
      </c>
    </row>
    <row r="67" spans="1:7" x14ac:dyDescent="0.35">
      <c r="A67" s="1">
        <v>45705</v>
      </c>
      <c r="B67" s="2">
        <v>0.92369212962962965</v>
      </c>
      <c r="C67" t="s">
        <v>0</v>
      </c>
      <c r="D67">
        <v>25</v>
      </c>
      <c r="E67" t="s">
        <v>10</v>
      </c>
      <c r="F67" t="str">
        <f t="shared" ref="F67:F130" si="2">TEXT(A67,"ddd")</f>
        <v>Mon</v>
      </c>
      <c r="G67" t="str">
        <f t="shared" ref="G67:G130" si="3">TEXT(A67, "mmm")</f>
        <v>Feb</v>
      </c>
    </row>
    <row r="68" spans="1:7" x14ac:dyDescent="0.35">
      <c r="A68" s="1">
        <v>45706</v>
      </c>
      <c r="B68" s="2">
        <v>0.41159722222222223</v>
      </c>
      <c r="C68" t="s">
        <v>0</v>
      </c>
      <c r="D68">
        <v>28</v>
      </c>
      <c r="E68" t="s">
        <v>22</v>
      </c>
      <c r="F68" t="str">
        <f t="shared" si="2"/>
        <v>Tue</v>
      </c>
      <c r="G68" t="str">
        <f t="shared" si="3"/>
        <v>Feb</v>
      </c>
    </row>
    <row r="69" spans="1:7" x14ac:dyDescent="0.35">
      <c r="A69" s="1">
        <v>45706</v>
      </c>
      <c r="B69" s="2">
        <v>0.42645833333333333</v>
      </c>
      <c r="C69" t="s">
        <v>2</v>
      </c>
      <c r="D69">
        <v>25</v>
      </c>
      <c r="E69" t="s">
        <v>10</v>
      </c>
      <c r="F69" t="str">
        <f t="shared" si="2"/>
        <v>Tue</v>
      </c>
      <c r="G69" t="str">
        <f t="shared" si="3"/>
        <v>Feb</v>
      </c>
    </row>
    <row r="70" spans="1:7" x14ac:dyDescent="0.35">
      <c r="A70" s="1">
        <v>45706</v>
      </c>
      <c r="B70" s="2">
        <v>0.65050925925925929</v>
      </c>
      <c r="C70" t="s">
        <v>2</v>
      </c>
      <c r="D70">
        <v>30</v>
      </c>
      <c r="E70" t="s">
        <v>11</v>
      </c>
      <c r="F70" t="str">
        <f t="shared" si="2"/>
        <v>Tue</v>
      </c>
      <c r="G70" t="str">
        <f t="shared" si="3"/>
        <v>Feb</v>
      </c>
    </row>
    <row r="71" spans="1:7" x14ac:dyDescent="0.35">
      <c r="A71" s="1">
        <v>45706</v>
      </c>
      <c r="B71" s="2">
        <v>0.65429398148148155</v>
      </c>
      <c r="C71" t="s">
        <v>2</v>
      </c>
      <c r="D71">
        <v>25</v>
      </c>
      <c r="E71" t="s">
        <v>10</v>
      </c>
      <c r="F71" t="str">
        <f t="shared" si="2"/>
        <v>Tue</v>
      </c>
      <c r="G71" t="str">
        <f t="shared" si="3"/>
        <v>Feb</v>
      </c>
    </row>
    <row r="72" spans="1:7" x14ac:dyDescent="0.35">
      <c r="A72" s="1">
        <v>45707</v>
      </c>
      <c r="B72" s="2">
        <v>0.33091435185185186</v>
      </c>
      <c r="C72" t="s">
        <v>0</v>
      </c>
      <c r="D72">
        <v>25</v>
      </c>
      <c r="E72" t="s">
        <v>15</v>
      </c>
      <c r="F72" t="str">
        <f t="shared" si="2"/>
        <v>Wed</v>
      </c>
      <c r="G72" t="str">
        <f t="shared" si="3"/>
        <v>Feb</v>
      </c>
    </row>
    <row r="73" spans="1:7" x14ac:dyDescent="0.35">
      <c r="A73" s="1">
        <v>45707</v>
      </c>
      <c r="B73" s="2">
        <v>0.44310185185185186</v>
      </c>
      <c r="C73" t="s">
        <v>2</v>
      </c>
      <c r="D73">
        <v>25</v>
      </c>
      <c r="E73" t="s">
        <v>15</v>
      </c>
      <c r="F73" t="str">
        <f t="shared" si="2"/>
        <v>Wed</v>
      </c>
      <c r="G73" t="str">
        <f t="shared" si="3"/>
        <v>Feb</v>
      </c>
    </row>
    <row r="74" spans="1:7" x14ac:dyDescent="0.35">
      <c r="A74" s="1">
        <v>45707</v>
      </c>
      <c r="B74" s="2">
        <v>0.50356481481481474</v>
      </c>
      <c r="C74" t="s">
        <v>0</v>
      </c>
      <c r="D74">
        <v>25</v>
      </c>
      <c r="E74" t="s">
        <v>10</v>
      </c>
      <c r="F74" t="str">
        <f t="shared" si="2"/>
        <v>Wed</v>
      </c>
      <c r="G74" t="str">
        <f t="shared" si="3"/>
        <v>Feb</v>
      </c>
    </row>
    <row r="75" spans="1:7" x14ac:dyDescent="0.35">
      <c r="A75" s="1">
        <v>45707</v>
      </c>
      <c r="B75" s="2">
        <v>0.51431712962962961</v>
      </c>
      <c r="C75" t="s">
        <v>2</v>
      </c>
      <c r="D75">
        <v>20</v>
      </c>
      <c r="E75" t="s">
        <v>3</v>
      </c>
      <c r="F75" t="str">
        <f t="shared" si="2"/>
        <v>Wed</v>
      </c>
      <c r="G75" t="str">
        <f t="shared" si="3"/>
        <v>Feb</v>
      </c>
    </row>
    <row r="76" spans="1:7" x14ac:dyDescent="0.35">
      <c r="A76" s="1">
        <v>45708</v>
      </c>
      <c r="B76" s="2">
        <v>0.31842592592592595</v>
      </c>
      <c r="C76" t="s">
        <v>2</v>
      </c>
      <c r="D76">
        <v>30</v>
      </c>
      <c r="E76" t="s">
        <v>11</v>
      </c>
      <c r="F76" t="str">
        <f t="shared" si="2"/>
        <v>Thu</v>
      </c>
      <c r="G76" t="str">
        <f t="shared" si="3"/>
        <v>Feb</v>
      </c>
    </row>
    <row r="77" spans="1:7" x14ac:dyDescent="0.35">
      <c r="A77" s="1">
        <v>45708</v>
      </c>
      <c r="B77" s="2">
        <v>0.33658564814814818</v>
      </c>
      <c r="C77" t="s">
        <v>0</v>
      </c>
      <c r="D77">
        <v>30</v>
      </c>
      <c r="E77" t="s">
        <v>18</v>
      </c>
      <c r="F77" t="str">
        <f t="shared" si="2"/>
        <v>Thu</v>
      </c>
      <c r="G77" t="str">
        <f t="shared" si="3"/>
        <v>Feb</v>
      </c>
    </row>
    <row r="78" spans="1:7" x14ac:dyDescent="0.35">
      <c r="A78" s="1">
        <v>45708</v>
      </c>
      <c r="B78" s="2">
        <v>0.37354166666666666</v>
      </c>
      <c r="C78" t="s">
        <v>2</v>
      </c>
      <c r="D78">
        <v>29</v>
      </c>
      <c r="E78" t="s">
        <v>6</v>
      </c>
      <c r="F78" t="str">
        <f t="shared" si="2"/>
        <v>Thu</v>
      </c>
      <c r="G78" t="str">
        <f t="shared" si="3"/>
        <v>Feb</v>
      </c>
    </row>
    <row r="79" spans="1:7" x14ac:dyDescent="0.35">
      <c r="A79" s="1">
        <v>45708</v>
      </c>
      <c r="B79" s="2">
        <v>0.40006944444444442</v>
      </c>
      <c r="C79" t="s">
        <v>0</v>
      </c>
      <c r="D79">
        <v>25</v>
      </c>
      <c r="E79" t="s">
        <v>10</v>
      </c>
      <c r="F79" t="str">
        <f t="shared" si="2"/>
        <v>Thu</v>
      </c>
      <c r="G79" t="str">
        <f t="shared" si="3"/>
        <v>Feb</v>
      </c>
    </row>
    <row r="80" spans="1:7" x14ac:dyDescent="0.35">
      <c r="A80" s="1">
        <v>45708</v>
      </c>
      <c r="B80" s="2">
        <v>0.40006944444444442</v>
      </c>
      <c r="C80" t="s">
        <v>0</v>
      </c>
      <c r="D80">
        <v>20</v>
      </c>
      <c r="E80" t="s">
        <v>3</v>
      </c>
      <c r="F80" t="str">
        <f t="shared" si="2"/>
        <v>Thu</v>
      </c>
      <c r="G80" t="str">
        <f t="shared" si="3"/>
        <v>Feb</v>
      </c>
    </row>
    <row r="81" spans="1:7" x14ac:dyDescent="0.35">
      <c r="A81" s="1">
        <v>45708</v>
      </c>
      <c r="B81" s="2">
        <v>0.50504629629629627</v>
      </c>
      <c r="C81" t="s">
        <v>2</v>
      </c>
      <c r="D81">
        <v>33</v>
      </c>
      <c r="E81" t="s">
        <v>14</v>
      </c>
      <c r="F81" t="str">
        <f t="shared" si="2"/>
        <v>Thu</v>
      </c>
      <c r="G81" t="str">
        <f t="shared" si="3"/>
        <v>Feb</v>
      </c>
    </row>
    <row r="82" spans="1:7" x14ac:dyDescent="0.35">
      <c r="A82" s="1">
        <v>45708</v>
      </c>
      <c r="B82" s="2">
        <v>0.50626157407407402</v>
      </c>
      <c r="C82" t="s">
        <v>2</v>
      </c>
      <c r="D82">
        <v>30</v>
      </c>
      <c r="E82" t="s">
        <v>11</v>
      </c>
      <c r="F82" t="str">
        <f t="shared" si="2"/>
        <v>Thu</v>
      </c>
      <c r="G82" t="str">
        <f t="shared" si="3"/>
        <v>Feb</v>
      </c>
    </row>
    <row r="83" spans="1:7" x14ac:dyDescent="0.35">
      <c r="A83" s="1">
        <v>45708</v>
      </c>
      <c r="B83" s="2">
        <v>0.55622685185185183</v>
      </c>
      <c r="C83" t="s">
        <v>2</v>
      </c>
      <c r="D83">
        <v>25</v>
      </c>
      <c r="E83" t="s">
        <v>23</v>
      </c>
      <c r="F83" t="str">
        <f t="shared" si="2"/>
        <v>Thu</v>
      </c>
      <c r="G83" t="str">
        <f t="shared" si="3"/>
        <v>Feb</v>
      </c>
    </row>
    <row r="84" spans="1:7" x14ac:dyDescent="0.35">
      <c r="A84" s="1">
        <v>45708</v>
      </c>
      <c r="B84" s="2">
        <v>0.71315972222222224</v>
      </c>
      <c r="C84" t="s">
        <v>2</v>
      </c>
      <c r="D84">
        <v>25</v>
      </c>
      <c r="E84" t="s">
        <v>10</v>
      </c>
      <c r="F84" t="str">
        <f t="shared" si="2"/>
        <v>Thu</v>
      </c>
      <c r="G84" t="str">
        <f t="shared" si="3"/>
        <v>Feb</v>
      </c>
    </row>
    <row r="85" spans="1:7" x14ac:dyDescent="0.35">
      <c r="A85" s="1">
        <v>45708</v>
      </c>
      <c r="B85" s="2">
        <v>0.71493055555555562</v>
      </c>
      <c r="C85" t="s">
        <v>0</v>
      </c>
      <c r="D85">
        <v>25</v>
      </c>
      <c r="E85" t="s">
        <v>10</v>
      </c>
      <c r="F85" t="str">
        <f t="shared" si="2"/>
        <v>Thu</v>
      </c>
      <c r="G85" t="str">
        <f t="shared" si="3"/>
        <v>Feb</v>
      </c>
    </row>
    <row r="86" spans="1:7" x14ac:dyDescent="0.35">
      <c r="A86" s="1">
        <v>45708</v>
      </c>
      <c r="B86" s="2">
        <v>0.73795138888888889</v>
      </c>
      <c r="C86" t="s">
        <v>2</v>
      </c>
      <c r="D86">
        <v>28</v>
      </c>
      <c r="E86" t="s">
        <v>8</v>
      </c>
      <c r="F86" t="str">
        <f t="shared" si="2"/>
        <v>Thu</v>
      </c>
      <c r="G86" t="str">
        <f t="shared" si="3"/>
        <v>Feb</v>
      </c>
    </row>
    <row r="87" spans="1:7" x14ac:dyDescent="0.35">
      <c r="A87" s="1">
        <v>45709</v>
      </c>
      <c r="B87" s="2">
        <v>0.36053240740740744</v>
      </c>
      <c r="C87" t="s">
        <v>0</v>
      </c>
      <c r="D87">
        <v>25</v>
      </c>
      <c r="E87" t="s">
        <v>20</v>
      </c>
      <c r="F87" t="str">
        <f t="shared" si="2"/>
        <v>Fri</v>
      </c>
      <c r="G87" t="str">
        <f t="shared" si="3"/>
        <v>Feb</v>
      </c>
    </row>
    <row r="88" spans="1:7" x14ac:dyDescent="0.35">
      <c r="A88" s="1">
        <v>45709</v>
      </c>
      <c r="B88" s="2">
        <v>0.3895717592592593</v>
      </c>
      <c r="C88" t="s">
        <v>2</v>
      </c>
      <c r="D88">
        <v>30</v>
      </c>
      <c r="E88" t="s">
        <v>18</v>
      </c>
      <c r="F88" t="str">
        <f t="shared" si="2"/>
        <v>Fri</v>
      </c>
      <c r="G88" t="str">
        <f t="shared" si="3"/>
        <v>Feb</v>
      </c>
    </row>
    <row r="89" spans="1:7" x14ac:dyDescent="0.35">
      <c r="A89" s="1">
        <v>45709</v>
      </c>
      <c r="B89" s="2">
        <v>0.40923611111111113</v>
      </c>
      <c r="C89" t="s">
        <v>2</v>
      </c>
      <c r="D89">
        <v>25</v>
      </c>
      <c r="E89" t="s">
        <v>20</v>
      </c>
      <c r="F89" t="str">
        <f t="shared" si="2"/>
        <v>Fri</v>
      </c>
      <c r="G89" t="str">
        <f t="shared" si="3"/>
        <v>Feb</v>
      </c>
    </row>
    <row r="90" spans="1:7" x14ac:dyDescent="0.35">
      <c r="A90" s="1">
        <v>45709</v>
      </c>
      <c r="B90" s="2">
        <v>0.42646990740740742</v>
      </c>
      <c r="C90" t="s">
        <v>0</v>
      </c>
      <c r="D90">
        <v>25</v>
      </c>
      <c r="E90" t="s">
        <v>10</v>
      </c>
      <c r="F90" t="str">
        <f t="shared" si="2"/>
        <v>Fri</v>
      </c>
      <c r="G90" t="str">
        <f t="shared" si="3"/>
        <v>Feb</v>
      </c>
    </row>
    <row r="91" spans="1:7" x14ac:dyDescent="0.35">
      <c r="A91" s="1">
        <v>45709</v>
      </c>
      <c r="B91" s="2">
        <v>0.66413194444444446</v>
      </c>
      <c r="C91" t="s">
        <v>2</v>
      </c>
      <c r="D91">
        <v>25</v>
      </c>
      <c r="E91" t="s">
        <v>10</v>
      </c>
      <c r="F91" t="str">
        <f t="shared" si="2"/>
        <v>Fri</v>
      </c>
      <c r="G91" t="str">
        <f t="shared" si="3"/>
        <v>Feb</v>
      </c>
    </row>
    <row r="92" spans="1:7" x14ac:dyDescent="0.35">
      <c r="A92" s="1">
        <v>45709</v>
      </c>
      <c r="B92" s="2">
        <v>0.67570601851851853</v>
      </c>
      <c r="C92" t="s">
        <v>2</v>
      </c>
      <c r="D92">
        <v>28</v>
      </c>
      <c r="E92" t="s">
        <v>8</v>
      </c>
      <c r="F92" t="str">
        <f t="shared" si="2"/>
        <v>Fri</v>
      </c>
      <c r="G92" t="str">
        <f t="shared" si="3"/>
        <v>Feb</v>
      </c>
    </row>
    <row r="93" spans="1:7" x14ac:dyDescent="0.35">
      <c r="A93" s="1">
        <v>45709</v>
      </c>
      <c r="B93" s="2">
        <v>0.6974999999999999</v>
      </c>
      <c r="C93" t="s">
        <v>0</v>
      </c>
      <c r="D93">
        <v>20</v>
      </c>
      <c r="E93" t="s">
        <v>3</v>
      </c>
      <c r="F93" t="str">
        <f t="shared" si="2"/>
        <v>Fri</v>
      </c>
      <c r="G93" t="str">
        <f t="shared" si="3"/>
        <v>Feb</v>
      </c>
    </row>
    <row r="94" spans="1:7" x14ac:dyDescent="0.35">
      <c r="A94" s="1">
        <v>45709</v>
      </c>
      <c r="B94" s="2">
        <v>0.71723379629629624</v>
      </c>
      <c r="C94" t="s">
        <v>2</v>
      </c>
      <c r="D94">
        <v>33</v>
      </c>
      <c r="E94" t="s">
        <v>14</v>
      </c>
      <c r="F94" t="str">
        <f t="shared" si="2"/>
        <v>Fri</v>
      </c>
      <c r="G94" t="str">
        <f t="shared" si="3"/>
        <v>Feb</v>
      </c>
    </row>
    <row r="95" spans="1:7" x14ac:dyDescent="0.35">
      <c r="A95" s="1">
        <v>45709</v>
      </c>
      <c r="B95" s="2">
        <v>0.78053240740740737</v>
      </c>
      <c r="C95" t="s">
        <v>0</v>
      </c>
      <c r="D95">
        <v>25</v>
      </c>
      <c r="E95" t="s">
        <v>10</v>
      </c>
      <c r="F95" t="str">
        <f t="shared" si="2"/>
        <v>Fri</v>
      </c>
      <c r="G95" t="str">
        <f t="shared" si="3"/>
        <v>Feb</v>
      </c>
    </row>
    <row r="96" spans="1:7" x14ac:dyDescent="0.35">
      <c r="A96" s="1">
        <v>45709</v>
      </c>
      <c r="B96" s="2">
        <v>0.78148148148148155</v>
      </c>
      <c r="C96" t="s">
        <v>2</v>
      </c>
      <c r="D96">
        <v>33</v>
      </c>
      <c r="E96" t="s">
        <v>14</v>
      </c>
      <c r="F96" t="str">
        <f t="shared" si="2"/>
        <v>Fri</v>
      </c>
      <c r="G96" t="str">
        <f t="shared" si="3"/>
        <v>Feb</v>
      </c>
    </row>
    <row r="97" spans="1:7" x14ac:dyDescent="0.35">
      <c r="A97" s="1">
        <v>45709</v>
      </c>
      <c r="B97" s="2">
        <v>0.78841435185185194</v>
      </c>
      <c r="C97" t="s">
        <v>0</v>
      </c>
      <c r="D97">
        <v>15</v>
      </c>
      <c r="E97" t="s">
        <v>1</v>
      </c>
      <c r="F97" t="str">
        <f t="shared" si="2"/>
        <v>Fri</v>
      </c>
      <c r="G97" t="str">
        <f t="shared" si="3"/>
        <v>Feb</v>
      </c>
    </row>
    <row r="98" spans="1:7" x14ac:dyDescent="0.35">
      <c r="A98" s="1">
        <v>45710</v>
      </c>
      <c r="B98" s="2">
        <v>0.50592592592592589</v>
      </c>
      <c r="C98" t="s">
        <v>2</v>
      </c>
      <c r="D98">
        <v>28</v>
      </c>
      <c r="E98" t="s">
        <v>19</v>
      </c>
      <c r="F98" t="str">
        <f t="shared" si="2"/>
        <v>Sat</v>
      </c>
      <c r="G98" t="str">
        <f t="shared" si="3"/>
        <v>Feb</v>
      </c>
    </row>
    <row r="99" spans="1:7" x14ac:dyDescent="0.35">
      <c r="A99" s="1">
        <v>45710</v>
      </c>
      <c r="B99" s="2">
        <v>0.77682870370370372</v>
      </c>
      <c r="C99" t="s">
        <v>2</v>
      </c>
      <c r="D99">
        <v>33</v>
      </c>
      <c r="E99" t="s">
        <v>14</v>
      </c>
      <c r="F99" t="str">
        <f t="shared" si="2"/>
        <v>Sat</v>
      </c>
      <c r="G99" t="str">
        <f t="shared" si="3"/>
        <v>Feb</v>
      </c>
    </row>
    <row r="100" spans="1:7" x14ac:dyDescent="0.35">
      <c r="A100" s="1">
        <v>45710</v>
      </c>
      <c r="B100" s="2">
        <v>0.77682870370370372</v>
      </c>
      <c r="C100" t="s">
        <v>2</v>
      </c>
      <c r="D100">
        <v>25</v>
      </c>
      <c r="E100" t="s">
        <v>10</v>
      </c>
      <c r="F100" t="str">
        <f t="shared" si="2"/>
        <v>Sat</v>
      </c>
      <c r="G100" t="str">
        <f t="shared" si="3"/>
        <v>Feb</v>
      </c>
    </row>
    <row r="101" spans="1:7" x14ac:dyDescent="0.35">
      <c r="A101" s="1">
        <v>45710</v>
      </c>
      <c r="B101" s="2">
        <v>0.7952662037037036</v>
      </c>
      <c r="C101" t="s">
        <v>2</v>
      </c>
      <c r="D101">
        <v>29</v>
      </c>
      <c r="E101" t="s">
        <v>6</v>
      </c>
      <c r="F101" t="str">
        <f t="shared" si="2"/>
        <v>Sat</v>
      </c>
      <c r="G101" t="str">
        <f t="shared" si="3"/>
        <v>Feb</v>
      </c>
    </row>
    <row r="102" spans="1:7" x14ac:dyDescent="0.35">
      <c r="A102" s="1">
        <v>45711</v>
      </c>
      <c r="B102" s="2">
        <v>0.46136574074074077</v>
      </c>
      <c r="C102" t="s">
        <v>2</v>
      </c>
      <c r="D102">
        <v>28</v>
      </c>
      <c r="E102" t="s">
        <v>8</v>
      </c>
      <c r="F102" t="str">
        <f t="shared" si="2"/>
        <v>Sun</v>
      </c>
      <c r="G102" t="str">
        <f t="shared" si="3"/>
        <v>Feb</v>
      </c>
    </row>
    <row r="103" spans="1:7" x14ac:dyDescent="0.35">
      <c r="A103" s="1">
        <v>45711</v>
      </c>
      <c r="B103" s="2">
        <v>0.63186342592592593</v>
      </c>
      <c r="C103" t="s">
        <v>2</v>
      </c>
      <c r="D103">
        <v>25</v>
      </c>
      <c r="E103" t="s">
        <v>15</v>
      </c>
      <c r="F103" t="str">
        <f t="shared" si="2"/>
        <v>Sun</v>
      </c>
      <c r="G103" t="str">
        <f t="shared" si="3"/>
        <v>Feb</v>
      </c>
    </row>
    <row r="104" spans="1:7" x14ac:dyDescent="0.35">
      <c r="A104" s="1">
        <v>45711</v>
      </c>
      <c r="B104" s="2">
        <v>0.6383564814814815</v>
      </c>
      <c r="C104" t="s">
        <v>2</v>
      </c>
      <c r="D104">
        <v>25</v>
      </c>
      <c r="E104" t="s">
        <v>10</v>
      </c>
      <c r="F104" t="str">
        <f t="shared" si="2"/>
        <v>Sun</v>
      </c>
      <c r="G104" t="str">
        <f t="shared" si="3"/>
        <v>Feb</v>
      </c>
    </row>
    <row r="105" spans="1:7" x14ac:dyDescent="0.35">
      <c r="A105" s="1">
        <v>45711</v>
      </c>
      <c r="B105" s="2">
        <v>0.66515046296296299</v>
      </c>
      <c r="C105" t="s">
        <v>0</v>
      </c>
      <c r="D105">
        <v>28</v>
      </c>
      <c r="E105" t="s">
        <v>8</v>
      </c>
      <c r="F105" t="str">
        <f t="shared" si="2"/>
        <v>Sun</v>
      </c>
      <c r="G105" t="str">
        <f t="shared" si="3"/>
        <v>Feb</v>
      </c>
    </row>
    <row r="106" spans="1:7" x14ac:dyDescent="0.35">
      <c r="A106" s="1">
        <v>45712</v>
      </c>
      <c r="B106" s="2">
        <v>0.55790509259259258</v>
      </c>
      <c r="C106" t="s">
        <v>2</v>
      </c>
      <c r="D106">
        <v>15</v>
      </c>
      <c r="E106" t="s">
        <v>1</v>
      </c>
      <c r="F106" t="str">
        <f t="shared" si="2"/>
        <v>Mon</v>
      </c>
      <c r="G106" t="str">
        <f t="shared" si="3"/>
        <v>Feb</v>
      </c>
    </row>
    <row r="107" spans="1:7" x14ac:dyDescent="0.35">
      <c r="A107" s="1">
        <v>45712</v>
      </c>
      <c r="B107" s="2">
        <v>0.77254629629629623</v>
      </c>
      <c r="C107" t="s">
        <v>2</v>
      </c>
      <c r="D107">
        <v>28</v>
      </c>
      <c r="E107" t="s">
        <v>13</v>
      </c>
      <c r="F107" t="str">
        <f t="shared" si="2"/>
        <v>Mon</v>
      </c>
      <c r="G107" t="str">
        <f t="shared" si="3"/>
        <v>Feb</v>
      </c>
    </row>
    <row r="108" spans="1:7" x14ac:dyDescent="0.35">
      <c r="A108" s="1">
        <v>45712</v>
      </c>
      <c r="B108" s="2">
        <v>0.77348379629629627</v>
      </c>
      <c r="C108" t="s">
        <v>2</v>
      </c>
      <c r="D108">
        <v>28</v>
      </c>
      <c r="E108" t="s">
        <v>13</v>
      </c>
      <c r="F108" t="str">
        <f t="shared" si="2"/>
        <v>Mon</v>
      </c>
      <c r="G108" t="str">
        <f t="shared" si="3"/>
        <v>Feb</v>
      </c>
    </row>
    <row r="109" spans="1:7" x14ac:dyDescent="0.35">
      <c r="A109" s="1">
        <v>45712</v>
      </c>
      <c r="B109" s="2">
        <v>0.84376157407407415</v>
      </c>
      <c r="C109" t="s">
        <v>2</v>
      </c>
      <c r="D109">
        <v>25</v>
      </c>
      <c r="E109" t="s">
        <v>24</v>
      </c>
      <c r="F109" t="str">
        <f t="shared" si="2"/>
        <v>Mon</v>
      </c>
      <c r="G109" t="str">
        <f t="shared" si="3"/>
        <v>Feb</v>
      </c>
    </row>
    <row r="110" spans="1:7" x14ac:dyDescent="0.35">
      <c r="A110" s="1">
        <v>45713</v>
      </c>
      <c r="B110" s="2">
        <v>0.9041435185185186</v>
      </c>
      <c r="C110" t="s">
        <v>2</v>
      </c>
      <c r="D110">
        <v>29</v>
      </c>
      <c r="E110" t="s">
        <v>6</v>
      </c>
      <c r="F110" t="str">
        <f t="shared" si="2"/>
        <v>Tue</v>
      </c>
      <c r="G110" t="str">
        <f t="shared" si="3"/>
        <v>Feb</v>
      </c>
    </row>
    <row r="111" spans="1:7" x14ac:dyDescent="0.35">
      <c r="A111" s="1">
        <v>45713</v>
      </c>
      <c r="B111" s="2">
        <v>0.90538194444444453</v>
      </c>
      <c r="C111" t="s">
        <v>2</v>
      </c>
      <c r="D111">
        <v>33</v>
      </c>
      <c r="E111" t="s">
        <v>14</v>
      </c>
      <c r="F111" t="str">
        <f t="shared" si="2"/>
        <v>Tue</v>
      </c>
      <c r="G111" t="str">
        <f t="shared" si="3"/>
        <v>Feb</v>
      </c>
    </row>
    <row r="112" spans="1:7" x14ac:dyDescent="0.35">
      <c r="A112" s="1">
        <v>45714</v>
      </c>
      <c r="B112" s="2">
        <v>0.40361111111111114</v>
      </c>
      <c r="C112" t="s">
        <v>0</v>
      </c>
      <c r="D112">
        <v>25</v>
      </c>
      <c r="E112" t="s">
        <v>10</v>
      </c>
      <c r="F112" t="str">
        <f t="shared" si="2"/>
        <v>Wed</v>
      </c>
      <c r="G112" t="str">
        <f t="shared" si="3"/>
        <v>Feb</v>
      </c>
    </row>
    <row r="113" spans="1:7" x14ac:dyDescent="0.35">
      <c r="A113" s="1">
        <v>45714</v>
      </c>
      <c r="B113" s="2">
        <v>0.40361111111111114</v>
      </c>
      <c r="C113" t="s">
        <v>0</v>
      </c>
      <c r="D113">
        <v>25</v>
      </c>
      <c r="E113" t="s">
        <v>10</v>
      </c>
      <c r="F113" t="str">
        <f t="shared" si="2"/>
        <v>Wed</v>
      </c>
      <c r="G113" t="str">
        <f t="shared" si="3"/>
        <v>Feb</v>
      </c>
    </row>
    <row r="114" spans="1:7" x14ac:dyDescent="0.35">
      <c r="A114" s="1">
        <v>45714</v>
      </c>
      <c r="B114" s="2">
        <v>0.43718750000000001</v>
      </c>
      <c r="C114" t="s">
        <v>0</v>
      </c>
      <c r="D114">
        <v>25</v>
      </c>
      <c r="E114" t="s">
        <v>20</v>
      </c>
      <c r="F114" t="str">
        <f t="shared" si="2"/>
        <v>Wed</v>
      </c>
      <c r="G114" t="str">
        <f t="shared" si="3"/>
        <v>Feb</v>
      </c>
    </row>
    <row r="115" spans="1:7" x14ac:dyDescent="0.35">
      <c r="A115" s="1">
        <v>45714</v>
      </c>
      <c r="B115" s="2">
        <v>0.48026620370370371</v>
      </c>
      <c r="C115" t="s">
        <v>2</v>
      </c>
      <c r="D115">
        <v>33</v>
      </c>
      <c r="E115" t="s">
        <v>14</v>
      </c>
      <c r="F115" t="str">
        <f t="shared" si="2"/>
        <v>Wed</v>
      </c>
      <c r="G115" t="str">
        <f t="shared" si="3"/>
        <v>Feb</v>
      </c>
    </row>
    <row r="116" spans="1:7" x14ac:dyDescent="0.35">
      <c r="A116" s="1">
        <v>45714</v>
      </c>
      <c r="B116" s="2">
        <v>0.48356481481481484</v>
      </c>
      <c r="C116" t="s">
        <v>2</v>
      </c>
      <c r="D116">
        <v>27</v>
      </c>
      <c r="E116" t="s">
        <v>7</v>
      </c>
      <c r="F116" t="str">
        <f t="shared" si="2"/>
        <v>Wed</v>
      </c>
      <c r="G116" t="str">
        <f t="shared" si="3"/>
        <v>Feb</v>
      </c>
    </row>
    <row r="117" spans="1:7" x14ac:dyDescent="0.35">
      <c r="A117" s="1">
        <v>45714</v>
      </c>
      <c r="B117" s="2">
        <v>0.48934027777777778</v>
      </c>
      <c r="C117" t="s">
        <v>0</v>
      </c>
      <c r="D117">
        <v>15</v>
      </c>
      <c r="E117" t="s">
        <v>1</v>
      </c>
      <c r="F117" t="str">
        <f t="shared" si="2"/>
        <v>Wed</v>
      </c>
      <c r="G117" t="str">
        <f t="shared" si="3"/>
        <v>Feb</v>
      </c>
    </row>
    <row r="118" spans="1:7" x14ac:dyDescent="0.35">
      <c r="A118" s="1">
        <v>45714</v>
      </c>
      <c r="B118" s="2">
        <v>0.4930208333333333</v>
      </c>
      <c r="C118" t="s">
        <v>0</v>
      </c>
      <c r="D118">
        <v>20</v>
      </c>
      <c r="E118" t="s">
        <v>3</v>
      </c>
      <c r="F118" t="str">
        <f t="shared" si="2"/>
        <v>Wed</v>
      </c>
      <c r="G118" t="str">
        <f t="shared" si="3"/>
        <v>Feb</v>
      </c>
    </row>
    <row r="119" spans="1:7" x14ac:dyDescent="0.35">
      <c r="A119" s="1">
        <v>45714</v>
      </c>
      <c r="B119" s="2">
        <v>0.49763888888888891</v>
      </c>
      <c r="C119" t="s">
        <v>2</v>
      </c>
      <c r="D119">
        <v>15</v>
      </c>
      <c r="E119" t="s">
        <v>1</v>
      </c>
      <c r="F119" t="str">
        <f t="shared" si="2"/>
        <v>Wed</v>
      </c>
      <c r="G119" t="str">
        <f t="shared" si="3"/>
        <v>Feb</v>
      </c>
    </row>
    <row r="120" spans="1:7" x14ac:dyDescent="0.35">
      <c r="A120" s="1">
        <v>45714</v>
      </c>
      <c r="B120" s="2">
        <v>0.50031250000000005</v>
      </c>
      <c r="C120" t="s">
        <v>2</v>
      </c>
      <c r="D120">
        <v>15</v>
      </c>
      <c r="E120" t="s">
        <v>1</v>
      </c>
      <c r="F120" t="str">
        <f t="shared" si="2"/>
        <v>Wed</v>
      </c>
      <c r="G120" t="str">
        <f t="shared" si="3"/>
        <v>Feb</v>
      </c>
    </row>
    <row r="121" spans="1:7" x14ac:dyDescent="0.35">
      <c r="A121" s="1">
        <v>45714</v>
      </c>
      <c r="B121" s="2">
        <v>0.51184027777777785</v>
      </c>
      <c r="C121" t="s">
        <v>2</v>
      </c>
      <c r="D121">
        <v>15</v>
      </c>
      <c r="E121" t="s">
        <v>1</v>
      </c>
      <c r="F121" t="str">
        <f t="shared" si="2"/>
        <v>Wed</v>
      </c>
      <c r="G121" t="str">
        <f t="shared" si="3"/>
        <v>Feb</v>
      </c>
    </row>
    <row r="122" spans="1:7" x14ac:dyDescent="0.35">
      <c r="A122" s="1">
        <v>45714</v>
      </c>
      <c r="B122" s="2">
        <v>0.51550925925925928</v>
      </c>
      <c r="C122" t="s">
        <v>2</v>
      </c>
      <c r="D122">
        <v>15</v>
      </c>
      <c r="E122" t="s">
        <v>1</v>
      </c>
      <c r="F122" t="str">
        <f t="shared" si="2"/>
        <v>Wed</v>
      </c>
      <c r="G122" t="str">
        <f t="shared" si="3"/>
        <v>Feb</v>
      </c>
    </row>
    <row r="123" spans="1:7" x14ac:dyDescent="0.35">
      <c r="A123" s="1">
        <v>45714</v>
      </c>
      <c r="B123" s="2">
        <v>0.54964120370370373</v>
      </c>
      <c r="C123" t="s">
        <v>0</v>
      </c>
      <c r="D123">
        <v>33</v>
      </c>
      <c r="E123" t="s">
        <v>14</v>
      </c>
      <c r="F123" t="str">
        <f t="shared" si="2"/>
        <v>Wed</v>
      </c>
      <c r="G123" t="str">
        <f t="shared" si="3"/>
        <v>Feb</v>
      </c>
    </row>
    <row r="124" spans="1:7" x14ac:dyDescent="0.35">
      <c r="A124" s="1">
        <v>45714</v>
      </c>
      <c r="B124" s="2">
        <v>0.6205208333333333</v>
      </c>
      <c r="C124" t="s">
        <v>2</v>
      </c>
      <c r="D124">
        <v>33</v>
      </c>
      <c r="E124" t="s">
        <v>14</v>
      </c>
      <c r="F124" t="str">
        <f t="shared" si="2"/>
        <v>Wed</v>
      </c>
      <c r="G124" t="str">
        <f t="shared" si="3"/>
        <v>Feb</v>
      </c>
    </row>
    <row r="125" spans="1:7" x14ac:dyDescent="0.35">
      <c r="A125" s="1">
        <v>45714</v>
      </c>
      <c r="B125" s="2">
        <v>0.69831018518518517</v>
      </c>
      <c r="C125" t="s">
        <v>2</v>
      </c>
      <c r="D125">
        <v>27</v>
      </c>
      <c r="E125" t="s">
        <v>7</v>
      </c>
      <c r="F125" t="str">
        <f t="shared" si="2"/>
        <v>Wed</v>
      </c>
      <c r="G125" t="str">
        <f t="shared" si="3"/>
        <v>Feb</v>
      </c>
    </row>
    <row r="126" spans="1:7" x14ac:dyDescent="0.35">
      <c r="A126" s="1">
        <v>45714</v>
      </c>
      <c r="B126" s="2">
        <v>0.71440972222222221</v>
      </c>
      <c r="C126" t="s">
        <v>2</v>
      </c>
      <c r="D126">
        <v>29</v>
      </c>
      <c r="E126" t="s">
        <v>6</v>
      </c>
      <c r="F126" t="str">
        <f t="shared" si="2"/>
        <v>Wed</v>
      </c>
      <c r="G126" t="str">
        <f t="shared" si="3"/>
        <v>Feb</v>
      </c>
    </row>
    <row r="127" spans="1:7" x14ac:dyDescent="0.35">
      <c r="A127" s="1">
        <v>45714</v>
      </c>
      <c r="B127" s="2">
        <v>0.7176851851851852</v>
      </c>
      <c r="C127" t="s">
        <v>2</v>
      </c>
      <c r="D127">
        <v>25</v>
      </c>
      <c r="E127" t="s">
        <v>24</v>
      </c>
      <c r="F127" t="str">
        <f t="shared" si="2"/>
        <v>Wed</v>
      </c>
      <c r="G127" t="str">
        <f t="shared" si="3"/>
        <v>Feb</v>
      </c>
    </row>
    <row r="128" spans="1:7" x14ac:dyDescent="0.35">
      <c r="A128" s="1">
        <v>45714</v>
      </c>
      <c r="B128" s="2">
        <v>0.86736111111111114</v>
      </c>
      <c r="C128" t="s">
        <v>2</v>
      </c>
      <c r="D128">
        <v>28</v>
      </c>
      <c r="E128" t="s">
        <v>19</v>
      </c>
      <c r="F128" t="str">
        <f t="shared" si="2"/>
        <v>Wed</v>
      </c>
      <c r="G128" t="str">
        <f t="shared" si="3"/>
        <v>Feb</v>
      </c>
    </row>
    <row r="129" spans="1:7" x14ac:dyDescent="0.35">
      <c r="A129" s="1">
        <v>45715</v>
      </c>
      <c r="B129" s="2">
        <v>0.48468749999999999</v>
      </c>
      <c r="C129" t="s">
        <v>0</v>
      </c>
      <c r="D129">
        <v>25</v>
      </c>
      <c r="E129" t="s">
        <v>10</v>
      </c>
      <c r="F129" t="str">
        <f t="shared" si="2"/>
        <v>Thu</v>
      </c>
      <c r="G129" t="str">
        <f t="shared" si="3"/>
        <v>Feb</v>
      </c>
    </row>
    <row r="130" spans="1:7" x14ac:dyDescent="0.35">
      <c r="A130" s="1">
        <v>45715</v>
      </c>
      <c r="B130" s="2">
        <v>0.71144675925925915</v>
      </c>
      <c r="C130" t="s">
        <v>0</v>
      </c>
      <c r="D130">
        <v>15</v>
      </c>
      <c r="E130" t="s">
        <v>1</v>
      </c>
      <c r="F130" t="str">
        <f t="shared" si="2"/>
        <v>Thu</v>
      </c>
      <c r="G130" t="str">
        <f t="shared" si="3"/>
        <v>Feb</v>
      </c>
    </row>
    <row r="131" spans="1:7" x14ac:dyDescent="0.35">
      <c r="A131" s="1">
        <v>45716</v>
      </c>
      <c r="B131" s="2">
        <v>0.33252314814814815</v>
      </c>
      <c r="C131" t="s">
        <v>2</v>
      </c>
      <c r="D131">
        <v>25</v>
      </c>
      <c r="E131" t="s">
        <v>10</v>
      </c>
      <c r="F131" t="str">
        <f t="shared" ref="F131:F194" si="4">TEXT(A131,"ddd")</f>
        <v>Fri</v>
      </c>
      <c r="G131" t="str">
        <f t="shared" ref="G131:G194" si="5">TEXT(A131, "mmm")</f>
        <v>Feb</v>
      </c>
    </row>
    <row r="132" spans="1:7" x14ac:dyDescent="0.35">
      <c r="A132" s="1">
        <v>45716</v>
      </c>
      <c r="B132" s="2">
        <v>0.50201388888888887</v>
      </c>
      <c r="C132" t="s">
        <v>0</v>
      </c>
      <c r="D132">
        <v>20</v>
      </c>
      <c r="E132" t="s">
        <v>3</v>
      </c>
      <c r="F132" t="str">
        <f t="shared" si="4"/>
        <v>Fri</v>
      </c>
      <c r="G132" t="str">
        <f t="shared" si="5"/>
        <v>Feb</v>
      </c>
    </row>
    <row r="133" spans="1:7" x14ac:dyDescent="0.35">
      <c r="A133" s="1">
        <v>45716</v>
      </c>
      <c r="B133" s="2">
        <v>0.61114583333333339</v>
      </c>
      <c r="C133" t="s">
        <v>0</v>
      </c>
      <c r="D133">
        <v>33</v>
      </c>
      <c r="E133" t="s">
        <v>14</v>
      </c>
      <c r="F133" t="str">
        <f t="shared" si="4"/>
        <v>Fri</v>
      </c>
      <c r="G133" t="str">
        <f t="shared" si="5"/>
        <v>Feb</v>
      </c>
    </row>
    <row r="134" spans="1:7" x14ac:dyDescent="0.35">
      <c r="A134" s="1">
        <v>45716</v>
      </c>
      <c r="B134" s="2">
        <v>0.61255787037037035</v>
      </c>
      <c r="C134" t="s">
        <v>0</v>
      </c>
      <c r="D134">
        <v>33</v>
      </c>
      <c r="E134" t="s">
        <v>14</v>
      </c>
      <c r="F134" t="str">
        <f t="shared" si="4"/>
        <v>Fri</v>
      </c>
      <c r="G134" t="str">
        <f t="shared" si="5"/>
        <v>Feb</v>
      </c>
    </row>
    <row r="135" spans="1:7" x14ac:dyDescent="0.35">
      <c r="A135" s="1">
        <v>45716</v>
      </c>
      <c r="B135" s="2">
        <v>0.65258101851851846</v>
      </c>
      <c r="C135" t="s">
        <v>0</v>
      </c>
      <c r="D135">
        <v>30</v>
      </c>
      <c r="E135" t="s">
        <v>11</v>
      </c>
      <c r="F135" t="str">
        <f t="shared" si="4"/>
        <v>Fri</v>
      </c>
      <c r="G135" t="str">
        <f t="shared" si="5"/>
        <v>Feb</v>
      </c>
    </row>
    <row r="136" spans="1:7" x14ac:dyDescent="0.35">
      <c r="A136" s="1">
        <v>45716</v>
      </c>
      <c r="B136" s="2">
        <v>0.65429398148148155</v>
      </c>
      <c r="C136" t="s">
        <v>0</v>
      </c>
      <c r="D136">
        <v>25</v>
      </c>
      <c r="E136" t="s">
        <v>10</v>
      </c>
      <c r="F136" t="str">
        <f t="shared" si="4"/>
        <v>Fri</v>
      </c>
      <c r="G136" t="str">
        <f t="shared" si="5"/>
        <v>Feb</v>
      </c>
    </row>
    <row r="137" spans="1:7" x14ac:dyDescent="0.35">
      <c r="A137" s="1">
        <v>45716</v>
      </c>
      <c r="B137" s="2">
        <v>0.82966435185185183</v>
      </c>
      <c r="C137" t="s">
        <v>2</v>
      </c>
      <c r="D137">
        <v>28</v>
      </c>
      <c r="E137" t="s">
        <v>16</v>
      </c>
      <c r="F137" t="str">
        <f t="shared" si="4"/>
        <v>Fri</v>
      </c>
      <c r="G137" t="str">
        <f t="shared" si="5"/>
        <v>Feb</v>
      </c>
    </row>
    <row r="138" spans="1:7" x14ac:dyDescent="0.35">
      <c r="A138" s="1">
        <v>45716</v>
      </c>
      <c r="B138" s="2">
        <v>0.926875</v>
      </c>
      <c r="C138" t="s">
        <v>2</v>
      </c>
      <c r="D138">
        <v>28</v>
      </c>
      <c r="E138" t="s">
        <v>8</v>
      </c>
      <c r="F138" t="str">
        <f t="shared" si="4"/>
        <v>Fri</v>
      </c>
      <c r="G138" t="str">
        <f t="shared" si="5"/>
        <v>Feb</v>
      </c>
    </row>
    <row r="139" spans="1:7" x14ac:dyDescent="0.35">
      <c r="A139" s="1">
        <v>45716</v>
      </c>
      <c r="B139" s="2">
        <v>0.93925925925925924</v>
      </c>
      <c r="C139" t="s">
        <v>2</v>
      </c>
      <c r="D139">
        <v>25</v>
      </c>
      <c r="E139" t="s">
        <v>10</v>
      </c>
      <c r="F139" t="str">
        <f t="shared" si="4"/>
        <v>Fri</v>
      </c>
      <c r="G139" t="str">
        <f t="shared" si="5"/>
        <v>Feb</v>
      </c>
    </row>
    <row r="140" spans="1:7" x14ac:dyDescent="0.35">
      <c r="A140" s="1">
        <v>45717</v>
      </c>
      <c r="B140" s="2">
        <v>0.48443287037037036</v>
      </c>
      <c r="C140" t="s">
        <v>0</v>
      </c>
      <c r="D140">
        <v>30</v>
      </c>
      <c r="E140" t="s">
        <v>11</v>
      </c>
      <c r="F140" t="str">
        <f t="shared" si="4"/>
        <v>Sat</v>
      </c>
      <c r="G140" t="str">
        <f t="shared" si="5"/>
        <v>Mar</v>
      </c>
    </row>
    <row r="141" spans="1:7" x14ac:dyDescent="0.35">
      <c r="A141" s="1">
        <v>45717</v>
      </c>
      <c r="B141" s="2">
        <v>0.48883101851851851</v>
      </c>
      <c r="C141" t="s">
        <v>0</v>
      </c>
      <c r="D141">
        <v>25</v>
      </c>
      <c r="E141" t="s">
        <v>10</v>
      </c>
      <c r="F141" t="str">
        <f t="shared" si="4"/>
        <v>Sat</v>
      </c>
      <c r="G141" t="str">
        <f t="shared" si="5"/>
        <v>Mar</v>
      </c>
    </row>
    <row r="142" spans="1:7" x14ac:dyDescent="0.35">
      <c r="A142" s="1">
        <v>45717</v>
      </c>
      <c r="B142" s="2">
        <v>0.53386574074074067</v>
      </c>
      <c r="C142" t="s">
        <v>0</v>
      </c>
      <c r="D142">
        <v>15</v>
      </c>
      <c r="E142" t="s">
        <v>1</v>
      </c>
      <c r="F142" t="str">
        <f t="shared" si="4"/>
        <v>Sat</v>
      </c>
      <c r="G142" t="str">
        <f t="shared" si="5"/>
        <v>Mar</v>
      </c>
    </row>
    <row r="143" spans="1:7" x14ac:dyDescent="0.35">
      <c r="A143" s="1">
        <v>45717</v>
      </c>
      <c r="B143" s="2">
        <v>0.61714120370370373</v>
      </c>
      <c r="C143" t="s">
        <v>2</v>
      </c>
      <c r="D143">
        <v>27</v>
      </c>
      <c r="E143" t="s">
        <v>5</v>
      </c>
      <c r="F143" t="str">
        <f t="shared" si="4"/>
        <v>Sat</v>
      </c>
      <c r="G143" t="str">
        <f t="shared" si="5"/>
        <v>Mar</v>
      </c>
    </row>
    <row r="144" spans="1:7" x14ac:dyDescent="0.35">
      <c r="A144" s="1">
        <v>45717</v>
      </c>
      <c r="B144" s="2">
        <v>0.69162037037037039</v>
      </c>
      <c r="C144" t="s">
        <v>2</v>
      </c>
      <c r="D144">
        <v>27</v>
      </c>
      <c r="E144" t="s">
        <v>7</v>
      </c>
      <c r="F144" t="str">
        <f t="shared" si="4"/>
        <v>Sat</v>
      </c>
      <c r="G144" t="str">
        <f t="shared" si="5"/>
        <v>Mar</v>
      </c>
    </row>
    <row r="145" spans="1:7" x14ac:dyDescent="0.35">
      <c r="A145" s="1">
        <v>45718</v>
      </c>
      <c r="B145" s="2">
        <v>0.47141203703703699</v>
      </c>
      <c r="C145" t="s">
        <v>2</v>
      </c>
      <c r="D145">
        <v>25</v>
      </c>
      <c r="E145" t="s">
        <v>10</v>
      </c>
      <c r="F145" t="str">
        <f t="shared" si="4"/>
        <v>Sun</v>
      </c>
      <c r="G145" t="str">
        <f t="shared" si="5"/>
        <v>Mar</v>
      </c>
    </row>
    <row r="146" spans="1:7" x14ac:dyDescent="0.35">
      <c r="A146" s="1">
        <v>45718</v>
      </c>
      <c r="B146" s="2">
        <v>0.47261574074074075</v>
      </c>
      <c r="C146" t="s">
        <v>2</v>
      </c>
      <c r="D146">
        <v>30</v>
      </c>
      <c r="E146" t="s">
        <v>11</v>
      </c>
      <c r="F146" t="str">
        <f t="shared" si="4"/>
        <v>Sun</v>
      </c>
      <c r="G146" t="str">
        <f t="shared" si="5"/>
        <v>Mar</v>
      </c>
    </row>
    <row r="147" spans="1:7" x14ac:dyDescent="0.35">
      <c r="A147" s="1">
        <v>45718</v>
      </c>
      <c r="B147" s="2">
        <v>0.51158564814814811</v>
      </c>
      <c r="C147" t="s">
        <v>2</v>
      </c>
      <c r="D147">
        <v>28</v>
      </c>
      <c r="E147" t="s">
        <v>21</v>
      </c>
      <c r="F147" t="str">
        <f t="shared" si="4"/>
        <v>Sun</v>
      </c>
      <c r="G147" t="str">
        <f t="shared" si="5"/>
        <v>Mar</v>
      </c>
    </row>
    <row r="148" spans="1:7" x14ac:dyDescent="0.35">
      <c r="A148" s="1">
        <v>45718</v>
      </c>
      <c r="B148" s="2">
        <v>0.53339120370370374</v>
      </c>
      <c r="C148" t="s">
        <v>0</v>
      </c>
      <c r="D148">
        <v>28</v>
      </c>
      <c r="E148" t="s">
        <v>25</v>
      </c>
      <c r="F148" t="str">
        <f t="shared" si="4"/>
        <v>Sun</v>
      </c>
      <c r="G148" t="str">
        <f t="shared" si="5"/>
        <v>Mar</v>
      </c>
    </row>
    <row r="149" spans="1:7" x14ac:dyDescent="0.35">
      <c r="A149" s="1">
        <v>45718</v>
      </c>
      <c r="B149" s="2">
        <v>0.53339120370370374</v>
      </c>
      <c r="C149" t="s">
        <v>0</v>
      </c>
      <c r="D149">
        <v>30</v>
      </c>
      <c r="E149" t="s">
        <v>11</v>
      </c>
      <c r="F149" t="str">
        <f t="shared" si="4"/>
        <v>Sun</v>
      </c>
      <c r="G149" t="str">
        <f t="shared" si="5"/>
        <v>Mar</v>
      </c>
    </row>
    <row r="150" spans="1:7" x14ac:dyDescent="0.35">
      <c r="A150" s="1">
        <v>45718</v>
      </c>
      <c r="B150" s="2">
        <v>0.62101851851851853</v>
      </c>
      <c r="C150" t="s">
        <v>0</v>
      </c>
      <c r="D150">
        <v>28</v>
      </c>
      <c r="E150" t="s">
        <v>16</v>
      </c>
      <c r="F150" t="str">
        <f t="shared" si="4"/>
        <v>Sun</v>
      </c>
      <c r="G150" t="str">
        <f t="shared" si="5"/>
        <v>Mar</v>
      </c>
    </row>
    <row r="151" spans="1:7" x14ac:dyDescent="0.35">
      <c r="A151" s="1">
        <v>45718</v>
      </c>
      <c r="B151" s="2">
        <v>0.67356481481481489</v>
      </c>
      <c r="C151" t="s">
        <v>2</v>
      </c>
      <c r="D151">
        <v>25</v>
      </c>
      <c r="E151" t="s">
        <v>20</v>
      </c>
      <c r="F151" t="str">
        <f t="shared" si="4"/>
        <v>Sun</v>
      </c>
      <c r="G151" t="str">
        <f t="shared" si="5"/>
        <v>Mar</v>
      </c>
    </row>
    <row r="152" spans="1:7" x14ac:dyDescent="0.35">
      <c r="A152" s="1">
        <v>45718</v>
      </c>
      <c r="B152" s="2">
        <v>0.84187499999999993</v>
      </c>
      <c r="C152" t="s">
        <v>2</v>
      </c>
      <c r="D152">
        <v>27</v>
      </c>
      <c r="E152" t="s">
        <v>5</v>
      </c>
      <c r="F152" t="str">
        <f t="shared" si="4"/>
        <v>Sun</v>
      </c>
      <c r="G152" t="str">
        <f t="shared" si="5"/>
        <v>Mar</v>
      </c>
    </row>
    <row r="153" spans="1:7" x14ac:dyDescent="0.35">
      <c r="A153" s="1">
        <v>45718</v>
      </c>
      <c r="B153" s="2">
        <v>0.84284722222222219</v>
      </c>
      <c r="C153" t="s">
        <v>2</v>
      </c>
      <c r="D153">
        <v>27</v>
      </c>
      <c r="E153" t="s">
        <v>7</v>
      </c>
      <c r="F153" t="str">
        <f t="shared" si="4"/>
        <v>Sun</v>
      </c>
      <c r="G153" t="str">
        <f t="shared" si="5"/>
        <v>Mar</v>
      </c>
    </row>
    <row r="154" spans="1:7" x14ac:dyDescent="0.35">
      <c r="A154" s="1">
        <v>45718</v>
      </c>
      <c r="B154" s="2">
        <v>0.84506944444444443</v>
      </c>
      <c r="C154" t="s">
        <v>2</v>
      </c>
      <c r="D154">
        <v>33</v>
      </c>
      <c r="E154" t="s">
        <v>14</v>
      </c>
      <c r="F154" t="str">
        <f t="shared" si="4"/>
        <v>Sun</v>
      </c>
      <c r="G154" t="str">
        <f t="shared" si="5"/>
        <v>Mar</v>
      </c>
    </row>
    <row r="155" spans="1:7" x14ac:dyDescent="0.35">
      <c r="A155" s="1">
        <v>45718</v>
      </c>
      <c r="B155" s="2">
        <v>0.85421296296296301</v>
      </c>
      <c r="C155" t="s">
        <v>0</v>
      </c>
      <c r="D155">
        <v>25</v>
      </c>
      <c r="E155" t="s">
        <v>24</v>
      </c>
      <c r="F155" t="str">
        <f t="shared" si="4"/>
        <v>Sun</v>
      </c>
      <c r="G155" t="str">
        <f t="shared" si="5"/>
        <v>Mar</v>
      </c>
    </row>
    <row r="156" spans="1:7" x14ac:dyDescent="0.35">
      <c r="A156" s="1">
        <v>45719</v>
      </c>
      <c r="B156" s="2">
        <v>0.4446180555555555</v>
      </c>
      <c r="C156" t="s">
        <v>2</v>
      </c>
      <c r="D156">
        <v>25</v>
      </c>
      <c r="E156" t="s">
        <v>10</v>
      </c>
      <c r="F156" t="str">
        <f t="shared" si="4"/>
        <v>Mon</v>
      </c>
      <c r="G156" t="str">
        <f t="shared" si="5"/>
        <v>Mar</v>
      </c>
    </row>
    <row r="157" spans="1:7" x14ac:dyDescent="0.35">
      <c r="A157" s="1">
        <v>45719</v>
      </c>
      <c r="B157" s="2">
        <v>0.46406249999999999</v>
      </c>
      <c r="C157" t="s">
        <v>2</v>
      </c>
      <c r="D157">
        <v>25</v>
      </c>
      <c r="E157" t="s">
        <v>20</v>
      </c>
      <c r="F157" t="str">
        <f t="shared" si="4"/>
        <v>Mon</v>
      </c>
      <c r="G157" t="str">
        <f t="shared" si="5"/>
        <v>Mar</v>
      </c>
    </row>
    <row r="158" spans="1:7" x14ac:dyDescent="0.35">
      <c r="A158" s="1">
        <v>45719</v>
      </c>
      <c r="B158" s="2">
        <v>0.46810185185185182</v>
      </c>
      <c r="C158" t="s">
        <v>2</v>
      </c>
      <c r="D158">
        <v>25</v>
      </c>
      <c r="E158" t="s">
        <v>20</v>
      </c>
      <c r="F158" t="str">
        <f t="shared" si="4"/>
        <v>Mon</v>
      </c>
      <c r="G158" t="str">
        <f t="shared" si="5"/>
        <v>Mar</v>
      </c>
    </row>
    <row r="159" spans="1:7" x14ac:dyDescent="0.35">
      <c r="A159" s="1">
        <v>45719</v>
      </c>
      <c r="B159" s="2">
        <v>0.47530092592592593</v>
      </c>
      <c r="C159" t="s">
        <v>2</v>
      </c>
      <c r="D159">
        <v>27</v>
      </c>
      <c r="E159" t="s">
        <v>26</v>
      </c>
      <c r="F159" t="str">
        <f t="shared" si="4"/>
        <v>Mon</v>
      </c>
      <c r="G159" t="str">
        <f t="shared" si="5"/>
        <v>Mar</v>
      </c>
    </row>
    <row r="160" spans="1:7" x14ac:dyDescent="0.35">
      <c r="A160" s="1">
        <v>45719</v>
      </c>
      <c r="B160" s="2">
        <v>0.6830208333333333</v>
      </c>
      <c r="C160" t="s">
        <v>2</v>
      </c>
      <c r="D160">
        <v>28</v>
      </c>
      <c r="E160" t="s">
        <v>13</v>
      </c>
      <c r="F160" t="str">
        <f t="shared" si="4"/>
        <v>Mon</v>
      </c>
      <c r="G160" t="str">
        <f t="shared" si="5"/>
        <v>Mar</v>
      </c>
    </row>
    <row r="161" spans="1:7" x14ac:dyDescent="0.35">
      <c r="A161" s="1">
        <v>45719</v>
      </c>
      <c r="B161" s="2">
        <v>0.91570601851851852</v>
      </c>
      <c r="C161" t="s">
        <v>2</v>
      </c>
      <c r="D161">
        <v>25</v>
      </c>
      <c r="E161" t="s">
        <v>10</v>
      </c>
      <c r="F161" t="str">
        <f t="shared" si="4"/>
        <v>Mon</v>
      </c>
      <c r="G161" t="str">
        <f t="shared" si="5"/>
        <v>Mar</v>
      </c>
    </row>
    <row r="162" spans="1:7" x14ac:dyDescent="0.35">
      <c r="A162" s="1">
        <v>45721</v>
      </c>
      <c r="B162" s="2">
        <v>0.4788310185185185</v>
      </c>
      <c r="C162" t="s">
        <v>2</v>
      </c>
      <c r="D162">
        <v>25</v>
      </c>
      <c r="E162" t="s">
        <v>20</v>
      </c>
      <c r="F162" t="str">
        <f t="shared" si="4"/>
        <v>Wed</v>
      </c>
      <c r="G162" t="str">
        <f t="shared" si="5"/>
        <v>Mar</v>
      </c>
    </row>
    <row r="163" spans="1:7" x14ac:dyDescent="0.35">
      <c r="A163" s="1">
        <v>45721</v>
      </c>
      <c r="B163" s="2">
        <v>0.48571759259259256</v>
      </c>
      <c r="C163" t="s">
        <v>2</v>
      </c>
      <c r="D163">
        <v>27</v>
      </c>
      <c r="E163" t="s">
        <v>27</v>
      </c>
      <c r="F163" t="str">
        <f t="shared" si="4"/>
        <v>Wed</v>
      </c>
      <c r="G163" t="str">
        <f t="shared" si="5"/>
        <v>Mar</v>
      </c>
    </row>
    <row r="164" spans="1:7" x14ac:dyDescent="0.35">
      <c r="A164" s="1">
        <v>45721</v>
      </c>
      <c r="B164" s="2">
        <v>0.5239583333333333</v>
      </c>
      <c r="C164" t="s">
        <v>0</v>
      </c>
      <c r="D164">
        <v>20</v>
      </c>
      <c r="E164" t="s">
        <v>3</v>
      </c>
      <c r="F164" t="str">
        <f t="shared" si="4"/>
        <v>Wed</v>
      </c>
      <c r="G164" t="str">
        <f t="shared" si="5"/>
        <v>Mar</v>
      </c>
    </row>
    <row r="165" spans="1:7" x14ac:dyDescent="0.35">
      <c r="A165" s="1">
        <v>45721</v>
      </c>
      <c r="B165" s="2">
        <v>0.55056712962962961</v>
      </c>
      <c r="C165" t="s">
        <v>0</v>
      </c>
      <c r="D165">
        <v>25</v>
      </c>
      <c r="E165" t="s">
        <v>15</v>
      </c>
      <c r="F165" t="str">
        <f t="shared" si="4"/>
        <v>Wed</v>
      </c>
      <c r="G165" t="str">
        <f t="shared" si="5"/>
        <v>Mar</v>
      </c>
    </row>
    <row r="166" spans="1:7" x14ac:dyDescent="0.35">
      <c r="A166" s="1">
        <v>45721</v>
      </c>
      <c r="B166" s="2">
        <v>0.55354166666666671</v>
      </c>
      <c r="C166" t="s">
        <v>0</v>
      </c>
      <c r="D166">
        <v>27</v>
      </c>
      <c r="E166" t="s">
        <v>7</v>
      </c>
      <c r="F166" t="str">
        <f t="shared" si="4"/>
        <v>Wed</v>
      </c>
      <c r="G166" t="str">
        <f t="shared" si="5"/>
        <v>Mar</v>
      </c>
    </row>
    <row r="167" spans="1:7" x14ac:dyDescent="0.35">
      <c r="A167" s="1">
        <v>45721</v>
      </c>
      <c r="B167" s="2">
        <v>0.77697916666666667</v>
      </c>
      <c r="C167" t="s">
        <v>2</v>
      </c>
      <c r="D167">
        <v>33</v>
      </c>
      <c r="E167" t="s">
        <v>14</v>
      </c>
      <c r="F167" t="str">
        <f t="shared" si="4"/>
        <v>Wed</v>
      </c>
      <c r="G167" t="str">
        <f t="shared" si="5"/>
        <v>Mar</v>
      </c>
    </row>
    <row r="168" spans="1:7" x14ac:dyDescent="0.35">
      <c r="A168" s="1">
        <v>45721</v>
      </c>
      <c r="B168" s="2">
        <v>0.77790509259259266</v>
      </c>
      <c r="C168" t="s">
        <v>2</v>
      </c>
      <c r="D168">
        <v>25</v>
      </c>
      <c r="E168" t="s">
        <v>10</v>
      </c>
      <c r="F168" t="str">
        <f t="shared" si="4"/>
        <v>Wed</v>
      </c>
      <c r="G168" t="str">
        <f t="shared" si="5"/>
        <v>Mar</v>
      </c>
    </row>
    <row r="169" spans="1:7" x14ac:dyDescent="0.35">
      <c r="A169" s="1">
        <v>45721</v>
      </c>
      <c r="B169" s="2">
        <v>0.78112268518518524</v>
      </c>
      <c r="C169" t="s">
        <v>2</v>
      </c>
      <c r="D169">
        <v>25</v>
      </c>
      <c r="E169" t="s">
        <v>15</v>
      </c>
      <c r="F169" t="str">
        <f t="shared" si="4"/>
        <v>Wed</v>
      </c>
      <c r="G169" t="str">
        <f t="shared" si="5"/>
        <v>Mar</v>
      </c>
    </row>
    <row r="170" spans="1:7" x14ac:dyDescent="0.35">
      <c r="A170" s="1">
        <v>45723</v>
      </c>
      <c r="B170" s="2">
        <v>0.52538194444444442</v>
      </c>
      <c r="C170" t="s">
        <v>2</v>
      </c>
      <c r="D170">
        <v>27</v>
      </c>
      <c r="E170" t="s">
        <v>28</v>
      </c>
      <c r="F170" t="str">
        <f t="shared" si="4"/>
        <v>Fri</v>
      </c>
      <c r="G170" t="str">
        <f t="shared" si="5"/>
        <v>Mar</v>
      </c>
    </row>
    <row r="171" spans="1:7" x14ac:dyDescent="0.35">
      <c r="A171" s="1">
        <v>45723</v>
      </c>
      <c r="B171" s="2">
        <v>0.52625</v>
      </c>
      <c r="C171" t="s">
        <v>2</v>
      </c>
      <c r="D171">
        <v>25</v>
      </c>
      <c r="E171" t="s">
        <v>10</v>
      </c>
      <c r="F171" t="str">
        <f t="shared" si="4"/>
        <v>Fri</v>
      </c>
      <c r="G171" t="str">
        <f t="shared" si="5"/>
        <v>Mar</v>
      </c>
    </row>
    <row r="172" spans="1:7" x14ac:dyDescent="0.35">
      <c r="A172" s="1">
        <v>45723</v>
      </c>
      <c r="B172" s="2">
        <v>0.59715277777777775</v>
      </c>
      <c r="C172" t="s">
        <v>2</v>
      </c>
      <c r="D172">
        <v>27</v>
      </c>
      <c r="E172" t="s">
        <v>26</v>
      </c>
      <c r="F172" t="str">
        <f t="shared" si="4"/>
        <v>Fri</v>
      </c>
      <c r="G172" t="str">
        <f t="shared" si="5"/>
        <v>Mar</v>
      </c>
    </row>
    <row r="173" spans="1:7" x14ac:dyDescent="0.35">
      <c r="A173" s="1">
        <v>45723</v>
      </c>
      <c r="B173" s="2">
        <v>0.59812500000000002</v>
      </c>
      <c r="C173" t="s">
        <v>2</v>
      </c>
      <c r="D173">
        <v>25</v>
      </c>
      <c r="E173" t="s">
        <v>20</v>
      </c>
      <c r="F173" t="str">
        <f t="shared" si="4"/>
        <v>Fri</v>
      </c>
      <c r="G173" t="str">
        <f t="shared" si="5"/>
        <v>Mar</v>
      </c>
    </row>
    <row r="174" spans="1:7" x14ac:dyDescent="0.35">
      <c r="A174" s="1">
        <v>45723</v>
      </c>
      <c r="B174" s="2">
        <v>0.89936342592592589</v>
      </c>
      <c r="C174" t="s">
        <v>0</v>
      </c>
      <c r="D174">
        <v>27</v>
      </c>
      <c r="E174" t="s">
        <v>5</v>
      </c>
      <c r="F174" t="str">
        <f t="shared" si="4"/>
        <v>Fri</v>
      </c>
      <c r="G174" t="str">
        <f t="shared" si="5"/>
        <v>Mar</v>
      </c>
    </row>
    <row r="175" spans="1:7" x14ac:dyDescent="0.35">
      <c r="A175" s="1">
        <v>45724</v>
      </c>
      <c r="B175" s="2">
        <v>0.48083333333333328</v>
      </c>
      <c r="C175" t="s">
        <v>2</v>
      </c>
      <c r="D175">
        <v>25</v>
      </c>
      <c r="E175" t="s">
        <v>10</v>
      </c>
      <c r="F175" t="str">
        <f t="shared" si="4"/>
        <v>Sat</v>
      </c>
      <c r="G175" t="str">
        <f t="shared" si="5"/>
        <v>Mar</v>
      </c>
    </row>
    <row r="176" spans="1:7" x14ac:dyDescent="0.35">
      <c r="A176" s="1">
        <v>45724</v>
      </c>
      <c r="B176" s="2">
        <v>0.69118055555555558</v>
      </c>
      <c r="C176" t="s">
        <v>2</v>
      </c>
      <c r="D176">
        <v>20</v>
      </c>
      <c r="E176" t="s">
        <v>3</v>
      </c>
      <c r="F176" t="str">
        <f t="shared" si="4"/>
        <v>Sat</v>
      </c>
      <c r="G176" t="str">
        <f t="shared" si="5"/>
        <v>Mar</v>
      </c>
    </row>
    <row r="177" spans="1:7" x14ac:dyDescent="0.35">
      <c r="A177" s="1">
        <v>45724</v>
      </c>
      <c r="B177" s="2">
        <v>0.89732638888888883</v>
      </c>
      <c r="C177" t="s">
        <v>2</v>
      </c>
      <c r="D177">
        <v>30</v>
      </c>
      <c r="E177" t="s">
        <v>29</v>
      </c>
      <c r="F177" t="str">
        <f t="shared" si="4"/>
        <v>Sat</v>
      </c>
      <c r="G177" t="str">
        <f t="shared" si="5"/>
        <v>Mar</v>
      </c>
    </row>
    <row r="178" spans="1:7" x14ac:dyDescent="0.35">
      <c r="A178" s="1">
        <v>45724</v>
      </c>
      <c r="B178" s="2">
        <v>0.90900462962962969</v>
      </c>
      <c r="C178" t="s">
        <v>2</v>
      </c>
      <c r="D178">
        <v>28</v>
      </c>
      <c r="E178" t="s">
        <v>19</v>
      </c>
      <c r="F178" t="str">
        <f t="shared" si="4"/>
        <v>Sat</v>
      </c>
      <c r="G178" t="str">
        <f t="shared" si="5"/>
        <v>Mar</v>
      </c>
    </row>
    <row r="179" spans="1:7" x14ac:dyDescent="0.35">
      <c r="A179" s="1">
        <v>45725</v>
      </c>
      <c r="B179" s="2">
        <v>0.32446759259259261</v>
      </c>
      <c r="C179" t="s">
        <v>2</v>
      </c>
      <c r="D179">
        <v>25</v>
      </c>
      <c r="E179" t="s">
        <v>15</v>
      </c>
      <c r="F179" t="str">
        <f t="shared" si="4"/>
        <v>Sun</v>
      </c>
      <c r="G179" t="str">
        <f t="shared" si="5"/>
        <v>Mar</v>
      </c>
    </row>
    <row r="180" spans="1:7" x14ac:dyDescent="0.35">
      <c r="A180" s="1">
        <v>45725</v>
      </c>
      <c r="B180" s="2">
        <v>0.49112268518518515</v>
      </c>
      <c r="C180" t="s">
        <v>2</v>
      </c>
      <c r="D180">
        <v>25</v>
      </c>
      <c r="E180" t="s">
        <v>15</v>
      </c>
      <c r="F180" t="str">
        <f t="shared" si="4"/>
        <v>Sun</v>
      </c>
      <c r="G180" t="str">
        <f t="shared" si="5"/>
        <v>Mar</v>
      </c>
    </row>
    <row r="181" spans="1:7" x14ac:dyDescent="0.35">
      <c r="A181" s="1">
        <v>45725</v>
      </c>
      <c r="B181" s="2">
        <v>0.62878472222222226</v>
      </c>
      <c r="C181" t="s">
        <v>0</v>
      </c>
      <c r="D181">
        <v>25</v>
      </c>
      <c r="E181" t="s">
        <v>15</v>
      </c>
      <c r="F181" t="str">
        <f t="shared" si="4"/>
        <v>Sun</v>
      </c>
      <c r="G181" t="str">
        <f t="shared" si="5"/>
        <v>Mar</v>
      </c>
    </row>
    <row r="182" spans="1:7" x14ac:dyDescent="0.35">
      <c r="A182" s="1">
        <v>45725</v>
      </c>
      <c r="B182" s="2">
        <v>0.6303819444444444</v>
      </c>
      <c r="C182" t="s">
        <v>2</v>
      </c>
      <c r="D182">
        <v>30</v>
      </c>
      <c r="E182" t="s">
        <v>18</v>
      </c>
      <c r="F182" t="str">
        <f t="shared" si="4"/>
        <v>Sun</v>
      </c>
      <c r="G182" t="str">
        <f t="shared" si="5"/>
        <v>Mar</v>
      </c>
    </row>
    <row r="183" spans="1:7" x14ac:dyDescent="0.35">
      <c r="A183" s="1">
        <v>45725</v>
      </c>
      <c r="B183" s="2">
        <v>0.7311805555555555</v>
      </c>
      <c r="C183" t="s">
        <v>2</v>
      </c>
      <c r="D183">
        <v>25</v>
      </c>
      <c r="E183" t="s">
        <v>15</v>
      </c>
      <c r="F183" t="str">
        <f t="shared" si="4"/>
        <v>Sun</v>
      </c>
      <c r="G183" t="str">
        <f t="shared" si="5"/>
        <v>Mar</v>
      </c>
    </row>
    <row r="184" spans="1:7" x14ac:dyDescent="0.35">
      <c r="A184" s="1">
        <v>45725</v>
      </c>
      <c r="B184" s="2">
        <v>0.75347222222222221</v>
      </c>
      <c r="C184" t="s">
        <v>2</v>
      </c>
      <c r="D184">
        <v>28</v>
      </c>
      <c r="E184" t="s">
        <v>22</v>
      </c>
      <c r="F184" t="str">
        <f t="shared" si="4"/>
        <v>Sun</v>
      </c>
      <c r="G184" t="str">
        <f t="shared" si="5"/>
        <v>Mar</v>
      </c>
    </row>
    <row r="185" spans="1:7" x14ac:dyDescent="0.35">
      <c r="A185" s="1">
        <v>45725</v>
      </c>
      <c r="B185" s="2">
        <v>0.78031249999999996</v>
      </c>
      <c r="C185" t="s">
        <v>2</v>
      </c>
      <c r="D185">
        <v>27</v>
      </c>
      <c r="E185" t="s">
        <v>7</v>
      </c>
      <c r="F185" t="str">
        <f t="shared" si="4"/>
        <v>Sun</v>
      </c>
      <c r="G185" t="str">
        <f t="shared" si="5"/>
        <v>Mar</v>
      </c>
    </row>
    <row r="186" spans="1:7" x14ac:dyDescent="0.35">
      <c r="A186" s="1">
        <v>45725</v>
      </c>
      <c r="B186" s="2">
        <v>0.80510416666666673</v>
      </c>
      <c r="C186" t="s">
        <v>0</v>
      </c>
      <c r="D186">
        <v>27</v>
      </c>
      <c r="E186" t="s">
        <v>5</v>
      </c>
      <c r="F186" t="str">
        <f t="shared" si="4"/>
        <v>Sun</v>
      </c>
      <c r="G186" t="str">
        <f t="shared" si="5"/>
        <v>Mar</v>
      </c>
    </row>
    <row r="187" spans="1:7" x14ac:dyDescent="0.35">
      <c r="A187" s="1">
        <v>45726</v>
      </c>
      <c r="B187" s="2">
        <v>0.50774305555555554</v>
      </c>
      <c r="C187" t="s">
        <v>0</v>
      </c>
      <c r="D187">
        <v>25</v>
      </c>
      <c r="E187" t="s">
        <v>15</v>
      </c>
      <c r="F187" t="str">
        <f t="shared" si="4"/>
        <v>Mon</v>
      </c>
      <c r="G187" t="str">
        <f t="shared" si="5"/>
        <v>Mar</v>
      </c>
    </row>
    <row r="188" spans="1:7" x14ac:dyDescent="0.35">
      <c r="A188" s="1">
        <v>45726</v>
      </c>
      <c r="B188" s="2">
        <v>0.58406250000000004</v>
      </c>
      <c r="C188" t="s">
        <v>2</v>
      </c>
      <c r="D188">
        <v>27</v>
      </c>
      <c r="E188" t="s">
        <v>7</v>
      </c>
      <c r="F188" t="str">
        <f t="shared" si="4"/>
        <v>Mon</v>
      </c>
      <c r="G188" t="str">
        <f t="shared" si="5"/>
        <v>Mar</v>
      </c>
    </row>
    <row r="189" spans="1:7" x14ac:dyDescent="0.35">
      <c r="A189" s="1">
        <v>45726</v>
      </c>
      <c r="B189" s="2">
        <v>0.64280092592592586</v>
      </c>
      <c r="C189" t="s">
        <v>2</v>
      </c>
      <c r="D189">
        <v>27</v>
      </c>
      <c r="E189" t="s">
        <v>7</v>
      </c>
      <c r="F189" t="str">
        <f t="shared" si="4"/>
        <v>Mon</v>
      </c>
      <c r="G189" t="str">
        <f t="shared" si="5"/>
        <v>Mar</v>
      </c>
    </row>
    <row r="190" spans="1:7" x14ac:dyDescent="0.35">
      <c r="A190" s="1">
        <v>45726</v>
      </c>
      <c r="B190" s="2">
        <v>0.92501157407407408</v>
      </c>
      <c r="C190" t="s">
        <v>2</v>
      </c>
      <c r="D190">
        <v>30</v>
      </c>
      <c r="E190" t="s">
        <v>11</v>
      </c>
      <c r="F190" t="str">
        <f t="shared" si="4"/>
        <v>Mon</v>
      </c>
      <c r="G190" t="str">
        <f t="shared" si="5"/>
        <v>Mar</v>
      </c>
    </row>
    <row r="191" spans="1:7" x14ac:dyDescent="0.35">
      <c r="A191" s="1">
        <v>45727</v>
      </c>
      <c r="B191" s="2">
        <v>0.32829861111111108</v>
      </c>
      <c r="C191" t="s">
        <v>2</v>
      </c>
      <c r="D191">
        <v>30</v>
      </c>
      <c r="E191" t="s">
        <v>11</v>
      </c>
      <c r="F191" t="str">
        <f t="shared" si="4"/>
        <v>Tue</v>
      </c>
      <c r="G191" t="str">
        <f t="shared" si="5"/>
        <v>Mar</v>
      </c>
    </row>
    <row r="192" spans="1:7" x14ac:dyDescent="0.35">
      <c r="A192" s="1">
        <v>45727</v>
      </c>
      <c r="B192" s="2">
        <v>0.41969907407407409</v>
      </c>
      <c r="C192" t="s">
        <v>0</v>
      </c>
      <c r="D192">
        <v>27</v>
      </c>
      <c r="E192" t="s">
        <v>5</v>
      </c>
      <c r="F192" t="str">
        <f t="shared" si="4"/>
        <v>Tue</v>
      </c>
      <c r="G192" t="str">
        <f t="shared" si="5"/>
        <v>Mar</v>
      </c>
    </row>
    <row r="193" spans="1:7" x14ac:dyDescent="0.35">
      <c r="A193" s="1">
        <v>45727</v>
      </c>
      <c r="B193" s="2">
        <v>0.52878472222222228</v>
      </c>
      <c r="C193" t="s">
        <v>0</v>
      </c>
      <c r="D193">
        <v>28</v>
      </c>
      <c r="E193" t="s">
        <v>16</v>
      </c>
      <c r="F193" t="str">
        <f t="shared" si="4"/>
        <v>Tue</v>
      </c>
      <c r="G193" t="str">
        <f t="shared" si="5"/>
        <v>Mar</v>
      </c>
    </row>
    <row r="194" spans="1:7" x14ac:dyDescent="0.35">
      <c r="A194" s="1">
        <v>45727</v>
      </c>
      <c r="B194" s="2">
        <v>0.75231481481481488</v>
      </c>
      <c r="C194" t="s">
        <v>2</v>
      </c>
      <c r="D194">
        <v>27</v>
      </c>
      <c r="E194" t="s">
        <v>26</v>
      </c>
      <c r="F194" t="str">
        <f t="shared" si="4"/>
        <v>Tue</v>
      </c>
      <c r="G194" t="str">
        <f t="shared" si="5"/>
        <v>Mar</v>
      </c>
    </row>
    <row r="195" spans="1:7" x14ac:dyDescent="0.35">
      <c r="A195" s="1">
        <v>45727</v>
      </c>
      <c r="B195" s="2">
        <v>0.75326388888888884</v>
      </c>
      <c r="C195" t="s">
        <v>2</v>
      </c>
      <c r="D195">
        <v>27</v>
      </c>
      <c r="E195" t="s">
        <v>26</v>
      </c>
      <c r="F195" t="str">
        <f t="shared" ref="F195:F258" si="6">TEXT(A195,"ddd")</f>
        <v>Tue</v>
      </c>
      <c r="G195" t="str">
        <f t="shared" ref="G195:G258" si="7">TEXT(A195, "mmm")</f>
        <v>Mar</v>
      </c>
    </row>
    <row r="196" spans="1:7" x14ac:dyDescent="0.35">
      <c r="A196" s="1">
        <v>45728</v>
      </c>
      <c r="B196" s="2">
        <v>0.32856481481481481</v>
      </c>
      <c r="C196" t="s">
        <v>2</v>
      </c>
      <c r="D196">
        <v>33</v>
      </c>
      <c r="E196" t="s">
        <v>14</v>
      </c>
      <c r="F196" t="str">
        <f t="shared" si="6"/>
        <v>Wed</v>
      </c>
      <c r="G196" t="str">
        <f t="shared" si="7"/>
        <v>Mar</v>
      </c>
    </row>
    <row r="197" spans="1:7" x14ac:dyDescent="0.35">
      <c r="A197" s="1">
        <v>45728</v>
      </c>
      <c r="B197" s="2">
        <v>0.36200231481481482</v>
      </c>
      <c r="C197" t="s">
        <v>2</v>
      </c>
      <c r="D197">
        <v>25</v>
      </c>
      <c r="E197" t="s">
        <v>15</v>
      </c>
      <c r="F197" t="str">
        <f t="shared" si="6"/>
        <v>Wed</v>
      </c>
      <c r="G197" t="str">
        <f t="shared" si="7"/>
        <v>Mar</v>
      </c>
    </row>
    <row r="198" spans="1:7" x14ac:dyDescent="0.35">
      <c r="A198" s="1">
        <v>45728</v>
      </c>
      <c r="B198" s="2">
        <v>0.70586805555555554</v>
      </c>
      <c r="C198" t="s">
        <v>2</v>
      </c>
      <c r="D198">
        <v>25</v>
      </c>
      <c r="E198" t="s">
        <v>10</v>
      </c>
      <c r="F198" t="str">
        <f t="shared" si="6"/>
        <v>Wed</v>
      </c>
      <c r="G198" t="str">
        <f t="shared" si="7"/>
        <v>Mar</v>
      </c>
    </row>
    <row r="199" spans="1:7" x14ac:dyDescent="0.35">
      <c r="A199" s="1">
        <v>45728</v>
      </c>
      <c r="B199" s="2">
        <v>0.70710648148148147</v>
      </c>
      <c r="C199" t="s">
        <v>2</v>
      </c>
      <c r="D199">
        <v>28</v>
      </c>
      <c r="E199" t="s">
        <v>8</v>
      </c>
      <c r="F199" t="str">
        <f t="shared" si="6"/>
        <v>Wed</v>
      </c>
      <c r="G199" t="str">
        <f t="shared" si="7"/>
        <v>Mar</v>
      </c>
    </row>
    <row r="200" spans="1:7" x14ac:dyDescent="0.35">
      <c r="A200" s="1">
        <v>45728</v>
      </c>
      <c r="B200" s="2">
        <v>0.7852662037037037</v>
      </c>
      <c r="C200" t="s">
        <v>2</v>
      </c>
      <c r="D200">
        <v>25</v>
      </c>
      <c r="E200" t="s">
        <v>10</v>
      </c>
      <c r="F200" t="str">
        <f t="shared" si="6"/>
        <v>Wed</v>
      </c>
      <c r="G200" t="str">
        <f t="shared" si="7"/>
        <v>Mar</v>
      </c>
    </row>
    <row r="201" spans="1:7" x14ac:dyDescent="0.35">
      <c r="A201" s="1">
        <v>45728</v>
      </c>
      <c r="B201" s="2">
        <v>0.78662037037037036</v>
      </c>
      <c r="C201" t="s">
        <v>2</v>
      </c>
      <c r="D201">
        <v>25</v>
      </c>
      <c r="E201" t="s">
        <v>10</v>
      </c>
      <c r="F201" t="str">
        <f t="shared" si="6"/>
        <v>Wed</v>
      </c>
      <c r="G201" t="str">
        <f t="shared" si="7"/>
        <v>Mar</v>
      </c>
    </row>
    <row r="202" spans="1:7" x14ac:dyDescent="0.35">
      <c r="A202" s="1">
        <v>45728</v>
      </c>
      <c r="B202" s="2">
        <v>0.90128472222222233</v>
      </c>
      <c r="C202" t="s">
        <v>2</v>
      </c>
      <c r="D202">
        <v>27</v>
      </c>
      <c r="E202" t="s">
        <v>7</v>
      </c>
      <c r="F202" t="str">
        <f t="shared" si="6"/>
        <v>Wed</v>
      </c>
      <c r="G202" t="str">
        <f t="shared" si="7"/>
        <v>Mar</v>
      </c>
    </row>
    <row r="203" spans="1:7" x14ac:dyDescent="0.35">
      <c r="A203" s="1">
        <v>45728</v>
      </c>
      <c r="B203" s="2">
        <v>0.90224537037037045</v>
      </c>
      <c r="C203" t="s">
        <v>2</v>
      </c>
      <c r="D203">
        <v>27</v>
      </c>
      <c r="E203" t="s">
        <v>7</v>
      </c>
      <c r="F203" t="str">
        <f t="shared" si="6"/>
        <v>Wed</v>
      </c>
      <c r="G203" t="str">
        <f t="shared" si="7"/>
        <v>Mar</v>
      </c>
    </row>
    <row r="204" spans="1:7" x14ac:dyDescent="0.35">
      <c r="A204" s="1">
        <v>45730</v>
      </c>
      <c r="B204" s="2">
        <v>0.52189814814814817</v>
      </c>
      <c r="C204" t="s">
        <v>2</v>
      </c>
      <c r="D204">
        <v>25</v>
      </c>
      <c r="E204" t="s">
        <v>10</v>
      </c>
      <c r="F204" t="str">
        <f t="shared" si="6"/>
        <v>Fri</v>
      </c>
      <c r="G204" t="str">
        <f t="shared" si="7"/>
        <v>Mar</v>
      </c>
    </row>
    <row r="205" spans="1:7" x14ac:dyDescent="0.35">
      <c r="A205" s="1">
        <v>45730</v>
      </c>
      <c r="B205" s="2">
        <v>0.57369212962962968</v>
      </c>
      <c r="C205" t="s">
        <v>2</v>
      </c>
      <c r="D205">
        <v>28</v>
      </c>
      <c r="E205" t="s">
        <v>8</v>
      </c>
      <c r="F205" t="str">
        <f t="shared" si="6"/>
        <v>Fri</v>
      </c>
      <c r="G205" t="str">
        <f t="shared" si="7"/>
        <v>Mar</v>
      </c>
    </row>
    <row r="206" spans="1:7" x14ac:dyDescent="0.35">
      <c r="A206" s="1">
        <v>45730</v>
      </c>
      <c r="B206" s="2">
        <v>0.66648148148148145</v>
      </c>
      <c r="C206" t="s">
        <v>2</v>
      </c>
      <c r="D206">
        <v>33</v>
      </c>
      <c r="E206" t="s">
        <v>14</v>
      </c>
      <c r="F206" t="str">
        <f t="shared" si="6"/>
        <v>Fri</v>
      </c>
      <c r="G206" t="str">
        <f t="shared" si="7"/>
        <v>Mar</v>
      </c>
    </row>
    <row r="207" spans="1:7" x14ac:dyDescent="0.35">
      <c r="A207" s="1">
        <v>45730</v>
      </c>
      <c r="B207" s="2">
        <v>0.89410879629629625</v>
      </c>
      <c r="C207" t="s">
        <v>2</v>
      </c>
      <c r="D207">
        <v>27</v>
      </c>
      <c r="E207" t="s">
        <v>7</v>
      </c>
      <c r="F207" t="str">
        <f t="shared" si="6"/>
        <v>Fri</v>
      </c>
      <c r="G207" t="str">
        <f t="shared" si="7"/>
        <v>Mar</v>
      </c>
    </row>
    <row r="208" spans="1:7" x14ac:dyDescent="0.35">
      <c r="A208" s="1">
        <v>45731</v>
      </c>
      <c r="B208" s="2">
        <v>0.55030092592592594</v>
      </c>
      <c r="C208" t="s">
        <v>2</v>
      </c>
      <c r="D208">
        <v>15</v>
      </c>
      <c r="E208" t="s">
        <v>1</v>
      </c>
      <c r="F208" t="str">
        <f t="shared" si="6"/>
        <v>Sat</v>
      </c>
      <c r="G208" t="str">
        <f t="shared" si="7"/>
        <v>Mar</v>
      </c>
    </row>
    <row r="209" spans="1:7" x14ac:dyDescent="0.35">
      <c r="A209" s="1">
        <v>45731</v>
      </c>
      <c r="B209" s="2">
        <v>0.55246527777777776</v>
      </c>
      <c r="C209" t="s">
        <v>2</v>
      </c>
      <c r="D209">
        <v>20</v>
      </c>
      <c r="E209" t="s">
        <v>3</v>
      </c>
      <c r="F209" t="str">
        <f t="shared" si="6"/>
        <v>Sat</v>
      </c>
      <c r="G209" t="str">
        <f t="shared" si="7"/>
        <v>Mar</v>
      </c>
    </row>
    <row r="210" spans="1:7" x14ac:dyDescent="0.35">
      <c r="A210" s="1">
        <v>45731</v>
      </c>
      <c r="B210" s="2">
        <v>0.56782407407407409</v>
      </c>
      <c r="C210" t="s">
        <v>2</v>
      </c>
      <c r="D210">
        <v>25</v>
      </c>
      <c r="E210" t="s">
        <v>20</v>
      </c>
      <c r="F210" t="str">
        <f t="shared" si="6"/>
        <v>Sat</v>
      </c>
      <c r="G210" t="str">
        <f t="shared" si="7"/>
        <v>Mar</v>
      </c>
    </row>
    <row r="211" spans="1:7" x14ac:dyDescent="0.35">
      <c r="A211" s="1">
        <v>45731</v>
      </c>
      <c r="B211" s="2">
        <v>0.56877314814814817</v>
      </c>
      <c r="C211" t="s">
        <v>2</v>
      </c>
      <c r="D211">
        <v>25</v>
      </c>
      <c r="E211" t="s">
        <v>20</v>
      </c>
      <c r="F211" t="str">
        <f t="shared" si="6"/>
        <v>Sat</v>
      </c>
      <c r="G211" t="str">
        <f t="shared" si="7"/>
        <v>Mar</v>
      </c>
    </row>
    <row r="212" spans="1:7" x14ac:dyDescent="0.35">
      <c r="A212" s="1">
        <v>45731</v>
      </c>
      <c r="B212" s="2">
        <v>0.62249999999999994</v>
      </c>
      <c r="C212" t="s">
        <v>2</v>
      </c>
      <c r="D212">
        <v>27</v>
      </c>
      <c r="E212" t="s">
        <v>7</v>
      </c>
      <c r="F212" t="str">
        <f t="shared" si="6"/>
        <v>Sat</v>
      </c>
      <c r="G212" t="str">
        <f t="shared" si="7"/>
        <v>Mar</v>
      </c>
    </row>
    <row r="213" spans="1:7" x14ac:dyDescent="0.35">
      <c r="A213" s="1">
        <v>45731</v>
      </c>
      <c r="B213" s="2">
        <v>0.62347222222222221</v>
      </c>
      <c r="C213" t="s">
        <v>2</v>
      </c>
      <c r="D213">
        <v>27</v>
      </c>
      <c r="E213" t="s">
        <v>5</v>
      </c>
      <c r="F213" t="str">
        <f t="shared" si="6"/>
        <v>Sat</v>
      </c>
      <c r="G213" t="str">
        <f t="shared" si="7"/>
        <v>Mar</v>
      </c>
    </row>
    <row r="214" spans="1:7" x14ac:dyDescent="0.35">
      <c r="A214" s="1">
        <v>45731</v>
      </c>
      <c r="B214" s="2">
        <v>0.65833333333333333</v>
      </c>
      <c r="C214" t="s">
        <v>2</v>
      </c>
      <c r="D214">
        <v>28</v>
      </c>
      <c r="E214" t="s">
        <v>13</v>
      </c>
      <c r="F214" t="str">
        <f t="shared" si="6"/>
        <v>Sat</v>
      </c>
      <c r="G214" t="str">
        <f t="shared" si="7"/>
        <v>Mar</v>
      </c>
    </row>
    <row r="215" spans="1:7" x14ac:dyDescent="0.35">
      <c r="A215" s="1">
        <v>45731</v>
      </c>
      <c r="B215" s="2">
        <v>0.79774305555555547</v>
      </c>
      <c r="C215" t="s">
        <v>2</v>
      </c>
      <c r="D215">
        <v>25</v>
      </c>
      <c r="E215" t="s">
        <v>20</v>
      </c>
      <c r="F215" t="str">
        <f t="shared" si="6"/>
        <v>Sat</v>
      </c>
      <c r="G215" t="str">
        <f t="shared" si="7"/>
        <v>Mar</v>
      </c>
    </row>
    <row r="216" spans="1:7" x14ac:dyDescent="0.35">
      <c r="A216" s="1">
        <v>45731</v>
      </c>
      <c r="B216" s="2">
        <v>0.79865740740740743</v>
      </c>
      <c r="C216" t="s">
        <v>2</v>
      </c>
      <c r="D216">
        <v>25</v>
      </c>
      <c r="E216" t="s">
        <v>10</v>
      </c>
      <c r="F216" t="str">
        <f t="shared" si="6"/>
        <v>Sat</v>
      </c>
      <c r="G216" t="str">
        <f t="shared" si="7"/>
        <v>Mar</v>
      </c>
    </row>
    <row r="217" spans="1:7" x14ac:dyDescent="0.35">
      <c r="A217" s="1">
        <v>45731</v>
      </c>
      <c r="B217" s="2">
        <v>0.87655092592592598</v>
      </c>
      <c r="C217" t="s">
        <v>2</v>
      </c>
      <c r="D217">
        <v>33</v>
      </c>
      <c r="E217" t="s">
        <v>14</v>
      </c>
      <c r="F217" t="str">
        <f t="shared" si="6"/>
        <v>Sat</v>
      </c>
      <c r="G217" t="str">
        <f t="shared" si="7"/>
        <v>Mar</v>
      </c>
    </row>
    <row r="218" spans="1:7" x14ac:dyDescent="0.35">
      <c r="A218" s="1">
        <v>45731</v>
      </c>
      <c r="B218" s="2">
        <v>0.91547453703703707</v>
      </c>
      <c r="C218" t="s">
        <v>2</v>
      </c>
      <c r="D218">
        <v>30</v>
      </c>
      <c r="E218" t="s">
        <v>11</v>
      </c>
      <c r="F218" t="str">
        <f t="shared" si="6"/>
        <v>Sat</v>
      </c>
      <c r="G218" t="str">
        <f t="shared" si="7"/>
        <v>Mar</v>
      </c>
    </row>
    <row r="219" spans="1:7" x14ac:dyDescent="0.35">
      <c r="A219" s="1">
        <v>45732</v>
      </c>
      <c r="B219" s="2">
        <v>0.57645833333333341</v>
      </c>
      <c r="C219" t="s">
        <v>2</v>
      </c>
      <c r="D219">
        <v>25</v>
      </c>
      <c r="E219" t="s">
        <v>10</v>
      </c>
      <c r="F219" t="str">
        <f t="shared" si="6"/>
        <v>Sun</v>
      </c>
      <c r="G219" t="str">
        <f t="shared" si="7"/>
        <v>Mar</v>
      </c>
    </row>
    <row r="220" spans="1:7" x14ac:dyDescent="0.35">
      <c r="A220" s="1">
        <v>45732</v>
      </c>
      <c r="B220" s="2">
        <v>0.61487268518518523</v>
      </c>
      <c r="C220" t="s">
        <v>2</v>
      </c>
      <c r="D220">
        <v>25</v>
      </c>
      <c r="E220" t="s">
        <v>10</v>
      </c>
      <c r="F220" t="str">
        <f t="shared" si="6"/>
        <v>Sun</v>
      </c>
      <c r="G220" t="str">
        <f t="shared" si="7"/>
        <v>Mar</v>
      </c>
    </row>
    <row r="221" spans="1:7" x14ac:dyDescent="0.35">
      <c r="A221" s="1">
        <v>45732</v>
      </c>
      <c r="B221" s="2">
        <v>0.62780092592592596</v>
      </c>
      <c r="C221" t="s">
        <v>0</v>
      </c>
      <c r="D221">
        <v>25</v>
      </c>
      <c r="E221" t="s">
        <v>10</v>
      </c>
      <c r="F221" t="str">
        <f t="shared" si="6"/>
        <v>Sun</v>
      </c>
      <c r="G221" t="str">
        <f t="shared" si="7"/>
        <v>Mar</v>
      </c>
    </row>
    <row r="222" spans="1:7" x14ac:dyDescent="0.35">
      <c r="A222" s="1">
        <v>45732</v>
      </c>
      <c r="B222" s="2">
        <v>0.66788194444444438</v>
      </c>
      <c r="C222" t="s">
        <v>2</v>
      </c>
      <c r="D222">
        <v>29</v>
      </c>
      <c r="E222" t="s">
        <v>6</v>
      </c>
      <c r="F222" t="str">
        <f t="shared" si="6"/>
        <v>Sun</v>
      </c>
      <c r="G222" t="str">
        <f t="shared" si="7"/>
        <v>Mar</v>
      </c>
    </row>
    <row r="223" spans="1:7" x14ac:dyDescent="0.35">
      <c r="A223" s="1">
        <v>45733</v>
      </c>
      <c r="B223" s="2">
        <v>0.3341898148148148</v>
      </c>
      <c r="C223" t="s">
        <v>2</v>
      </c>
      <c r="D223">
        <v>29</v>
      </c>
      <c r="E223" t="s">
        <v>6</v>
      </c>
      <c r="F223" t="str">
        <f t="shared" si="6"/>
        <v>Mon</v>
      </c>
      <c r="G223" t="str">
        <f t="shared" si="7"/>
        <v>Mar</v>
      </c>
    </row>
    <row r="224" spans="1:7" x14ac:dyDescent="0.35">
      <c r="A224" s="1">
        <v>45733</v>
      </c>
      <c r="B224" s="2">
        <v>0.46098379629629632</v>
      </c>
      <c r="C224" t="s">
        <v>2</v>
      </c>
      <c r="D224">
        <v>25</v>
      </c>
      <c r="E224" t="s">
        <v>20</v>
      </c>
      <c r="F224" t="str">
        <f t="shared" si="6"/>
        <v>Mon</v>
      </c>
      <c r="G224" t="str">
        <f t="shared" si="7"/>
        <v>Mar</v>
      </c>
    </row>
    <row r="225" spans="1:7" x14ac:dyDescent="0.35">
      <c r="A225" s="1">
        <v>45733</v>
      </c>
      <c r="B225" s="2">
        <v>0.69787037037037036</v>
      </c>
      <c r="C225" t="s">
        <v>2</v>
      </c>
      <c r="D225">
        <v>33</v>
      </c>
      <c r="E225" t="s">
        <v>14</v>
      </c>
      <c r="F225" t="str">
        <f t="shared" si="6"/>
        <v>Mon</v>
      </c>
      <c r="G225" t="str">
        <f t="shared" si="7"/>
        <v>Mar</v>
      </c>
    </row>
    <row r="226" spans="1:7" x14ac:dyDescent="0.35">
      <c r="A226" s="1">
        <v>45733</v>
      </c>
      <c r="B226" s="2">
        <v>0.73189814814814813</v>
      </c>
      <c r="C226" t="s">
        <v>2</v>
      </c>
      <c r="D226">
        <v>29</v>
      </c>
      <c r="E226" t="s">
        <v>6</v>
      </c>
      <c r="F226" t="str">
        <f t="shared" si="6"/>
        <v>Mon</v>
      </c>
      <c r="G226" t="str">
        <f t="shared" si="7"/>
        <v>Mar</v>
      </c>
    </row>
    <row r="227" spans="1:7" x14ac:dyDescent="0.35">
      <c r="A227" s="1">
        <v>45733</v>
      </c>
      <c r="B227" s="2">
        <v>0.77334490740740736</v>
      </c>
      <c r="C227" t="s">
        <v>2</v>
      </c>
      <c r="D227">
        <v>29</v>
      </c>
      <c r="E227" t="s">
        <v>6</v>
      </c>
      <c r="F227" t="str">
        <f t="shared" si="6"/>
        <v>Mon</v>
      </c>
      <c r="G227" t="str">
        <f t="shared" si="7"/>
        <v>Mar</v>
      </c>
    </row>
    <row r="228" spans="1:7" x14ac:dyDescent="0.35">
      <c r="A228" s="1">
        <v>45734</v>
      </c>
      <c r="B228" s="2">
        <v>0.35077546296296297</v>
      </c>
      <c r="C228" t="s">
        <v>2</v>
      </c>
      <c r="D228">
        <v>29</v>
      </c>
      <c r="E228" t="s">
        <v>6</v>
      </c>
      <c r="F228" t="str">
        <f t="shared" si="6"/>
        <v>Tue</v>
      </c>
      <c r="G228" t="str">
        <f t="shared" si="7"/>
        <v>Mar</v>
      </c>
    </row>
    <row r="229" spans="1:7" x14ac:dyDescent="0.35">
      <c r="A229" s="1">
        <v>45734</v>
      </c>
      <c r="B229" s="2">
        <v>0.62641203703703707</v>
      </c>
      <c r="C229" t="s">
        <v>0</v>
      </c>
      <c r="D229">
        <v>28</v>
      </c>
      <c r="E229" t="s">
        <v>8</v>
      </c>
      <c r="F229" t="str">
        <f t="shared" si="6"/>
        <v>Tue</v>
      </c>
      <c r="G229" t="str">
        <f t="shared" si="7"/>
        <v>Mar</v>
      </c>
    </row>
    <row r="230" spans="1:7" x14ac:dyDescent="0.35">
      <c r="A230" s="1">
        <v>45734</v>
      </c>
      <c r="B230" s="2">
        <v>0.73925925925925917</v>
      </c>
      <c r="C230" t="s">
        <v>0</v>
      </c>
      <c r="D230">
        <v>20</v>
      </c>
      <c r="E230" t="s">
        <v>3</v>
      </c>
      <c r="F230" t="str">
        <f t="shared" si="6"/>
        <v>Tue</v>
      </c>
      <c r="G230" t="str">
        <f t="shared" si="7"/>
        <v>Mar</v>
      </c>
    </row>
    <row r="231" spans="1:7" x14ac:dyDescent="0.35">
      <c r="A231" s="1">
        <v>45734</v>
      </c>
      <c r="B231" s="2">
        <v>0.74122685185185189</v>
      </c>
      <c r="C231" t="s">
        <v>2</v>
      </c>
      <c r="D231">
        <v>25</v>
      </c>
      <c r="E231" t="s">
        <v>20</v>
      </c>
      <c r="F231" t="str">
        <f t="shared" si="6"/>
        <v>Tue</v>
      </c>
      <c r="G231" t="str">
        <f t="shared" si="7"/>
        <v>Mar</v>
      </c>
    </row>
    <row r="232" spans="1:7" x14ac:dyDescent="0.35">
      <c r="A232" s="1">
        <v>45734</v>
      </c>
      <c r="B232" s="2">
        <v>0.8162152777777778</v>
      </c>
      <c r="C232" t="s">
        <v>2</v>
      </c>
      <c r="D232">
        <v>30</v>
      </c>
      <c r="E232" t="s">
        <v>4</v>
      </c>
      <c r="F232" t="str">
        <f t="shared" si="6"/>
        <v>Tue</v>
      </c>
      <c r="G232" t="str">
        <f t="shared" si="7"/>
        <v>Mar</v>
      </c>
    </row>
    <row r="233" spans="1:7" x14ac:dyDescent="0.35">
      <c r="A233" s="1">
        <v>45734</v>
      </c>
      <c r="B233" s="2">
        <v>0.81703703703703701</v>
      </c>
      <c r="C233" t="s">
        <v>2</v>
      </c>
      <c r="D233">
        <v>30</v>
      </c>
      <c r="E233" t="s">
        <v>4</v>
      </c>
      <c r="F233" t="str">
        <f t="shared" si="6"/>
        <v>Tue</v>
      </c>
      <c r="G233" t="str">
        <f t="shared" si="7"/>
        <v>Mar</v>
      </c>
    </row>
    <row r="234" spans="1:7" x14ac:dyDescent="0.35">
      <c r="A234" s="1">
        <v>45735</v>
      </c>
      <c r="B234" s="2">
        <v>0.70572916666666663</v>
      </c>
      <c r="C234" t="s">
        <v>2</v>
      </c>
      <c r="D234">
        <v>25</v>
      </c>
      <c r="E234" t="s">
        <v>20</v>
      </c>
      <c r="F234" t="str">
        <f t="shared" si="6"/>
        <v>Wed</v>
      </c>
      <c r="G234" t="str">
        <f t="shared" si="7"/>
        <v>Mar</v>
      </c>
    </row>
    <row r="235" spans="1:7" x14ac:dyDescent="0.35">
      <c r="A235" s="1">
        <v>45735</v>
      </c>
      <c r="B235" s="2">
        <v>0.73472222222222217</v>
      </c>
      <c r="C235" t="s">
        <v>2</v>
      </c>
      <c r="D235">
        <v>27</v>
      </c>
      <c r="E235" t="s">
        <v>5</v>
      </c>
      <c r="F235" t="str">
        <f t="shared" si="6"/>
        <v>Wed</v>
      </c>
      <c r="G235" t="str">
        <f t="shared" si="7"/>
        <v>Mar</v>
      </c>
    </row>
    <row r="236" spans="1:7" x14ac:dyDescent="0.35">
      <c r="A236" s="1">
        <v>45735</v>
      </c>
      <c r="B236" s="2">
        <v>0.73765046296296299</v>
      </c>
      <c r="C236" t="s">
        <v>0</v>
      </c>
      <c r="D236">
        <v>30</v>
      </c>
      <c r="E236" t="s">
        <v>18</v>
      </c>
      <c r="F236" t="str">
        <f t="shared" si="6"/>
        <v>Wed</v>
      </c>
      <c r="G236" t="str">
        <f t="shared" si="7"/>
        <v>Mar</v>
      </c>
    </row>
    <row r="237" spans="1:7" x14ac:dyDescent="0.35">
      <c r="A237" s="1">
        <v>45735</v>
      </c>
      <c r="B237" s="2">
        <v>0.7389930555555555</v>
      </c>
      <c r="C237" t="s">
        <v>0</v>
      </c>
      <c r="D237">
        <v>33</v>
      </c>
      <c r="E237" t="s">
        <v>14</v>
      </c>
      <c r="F237" t="str">
        <f t="shared" si="6"/>
        <v>Wed</v>
      </c>
      <c r="G237" t="str">
        <f t="shared" si="7"/>
        <v>Mar</v>
      </c>
    </row>
    <row r="238" spans="1:7" x14ac:dyDescent="0.35">
      <c r="A238" s="1">
        <v>45735</v>
      </c>
      <c r="B238" s="2">
        <v>0.82150462962962967</v>
      </c>
      <c r="C238" t="s">
        <v>0</v>
      </c>
      <c r="D238">
        <v>25</v>
      </c>
      <c r="E238" t="s">
        <v>30</v>
      </c>
      <c r="F238" t="str">
        <f t="shared" si="6"/>
        <v>Wed</v>
      </c>
      <c r="G238" t="str">
        <f t="shared" si="7"/>
        <v>Mar</v>
      </c>
    </row>
    <row r="239" spans="1:7" x14ac:dyDescent="0.35">
      <c r="A239" s="1">
        <v>45736</v>
      </c>
      <c r="B239" s="2">
        <v>0.34084490740740742</v>
      </c>
      <c r="C239" t="s">
        <v>2</v>
      </c>
      <c r="D239">
        <v>25</v>
      </c>
      <c r="E239" t="s">
        <v>20</v>
      </c>
      <c r="F239" t="str">
        <f t="shared" si="6"/>
        <v>Thu</v>
      </c>
      <c r="G239" t="str">
        <f t="shared" si="7"/>
        <v>Mar</v>
      </c>
    </row>
    <row r="240" spans="1:7" x14ac:dyDescent="0.35">
      <c r="A240" s="1">
        <v>45736</v>
      </c>
      <c r="B240" s="2">
        <v>0.49609953703703707</v>
      </c>
      <c r="C240" t="s">
        <v>2</v>
      </c>
      <c r="D240">
        <v>33</v>
      </c>
      <c r="E240" t="s">
        <v>14</v>
      </c>
      <c r="F240" t="str">
        <f t="shared" si="6"/>
        <v>Thu</v>
      </c>
      <c r="G240" t="str">
        <f t="shared" si="7"/>
        <v>Mar</v>
      </c>
    </row>
    <row r="241" spans="1:7" x14ac:dyDescent="0.35">
      <c r="A241" s="1">
        <v>45736</v>
      </c>
      <c r="B241" s="2">
        <v>0.72401620370370379</v>
      </c>
      <c r="C241" t="s">
        <v>0</v>
      </c>
      <c r="D241">
        <v>30</v>
      </c>
      <c r="E241" t="s">
        <v>4</v>
      </c>
      <c r="F241" t="str">
        <f t="shared" si="6"/>
        <v>Thu</v>
      </c>
      <c r="G241" t="str">
        <f t="shared" si="7"/>
        <v>Mar</v>
      </c>
    </row>
    <row r="242" spans="1:7" x14ac:dyDescent="0.35">
      <c r="A242" s="1">
        <v>45737</v>
      </c>
      <c r="B242" s="2">
        <v>0.37839120370370366</v>
      </c>
      <c r="C242" t="s">
        <v>2</v>
      </c>
      <c r="D242">
        <v>25</v>
      </c>
      <c r="E242" t="s">
        <v>20</v>
      </c>
      <c r="F242" t="str">
        <f t="shared" si="6"/>
        <v>Fri</v>
      </c>
      <c r="G242" t="str">
        <f t="shared" si="7"/>
        <v>Mar</v>
      </c>
    </row>
    <row r="243" spans="1:7" x14ac:dyDescent="0.35">
      <c r="A243" s="1">
        <v>45737</v>
      </c>
      <c r="B243" s="2">
        <v>0.81789351851851855</v>
      </c>
      <c r="C243" t="s">
        <v>2</v>
      </c>
      <c r="D243">
        <v>27</v>
      </c>
      <c r="E243" t="s">
        <v>5</v>
      </c>
      <c r="F243" t="str">
        <f t="shared" si="6"/>
        <v>Fri</v>
      </c>
      <c r="G243" t="str">
        <f t="shared" si="7"/>
        <v>Mar</v>
      </c>
    </row>
    <row r="244" spans="1:7" x14ac:dyDescent="0.35">
      <c r="A244" s="1">
        <v>45737</v>
      </c>
      <c r="B244" s="2">
        <v>0.81883101851851858</v>
      </c>
      <c r="C244" t="s">
        <v>2</v>
      </c>
      <c r="D244">
        <v>28</v>
      </c>
      <c r="E244" t="s">
        <v>16</v>
      </c>
      <c r="F244" t="str">
        <f t="shared" si="6"/>
        <v>Fri</v>
      </c>
      <c r="G244" t="str">
        <f t="shared" si="7"/>
        <v>Mar</v>
      </c>
    </row>
    <row r="245" spans="1:7" x14ac:dyDescent="0.35">
      <c r="A245" s="1">
        <v>45737</v>
      </c>
      <c r="B245" s="2">
        <v>0.90767361111111111</v>
      </c>
      <c r="C245" t="s">
        <v>2</v>
      </c>
      <c r="D245">
        <v>25</v>
      </c>
      <c r="E245" t="s">
        <v>10</v>
      </c>
      <c r="F245" t="str">
        <f t="shared" si="6"/>
        <v>Fri</v>
      </c>
      <c r="G245" t="str">
        <f t="shared" si="7"/>
        <v>Mar</v>
      </c>
    </row>
    <row r="246" spans="1:7" x14ac:dyDescent="0.35">
      <c r="A246" s="1">
        <v>45738</v>
      </c>
      <c r="B246" s="2">
        <v>0.45422453703703702</v>
      </c>
      <c r="C246" t="s">
        <v>2</v>
      </c>
      <c r="D246">
        <v>27</v>
      </c>
      <c r="E246" t="s">
        <v>7</v>
      </c>
      <c r="F246" t="str">
        <f t="shared" si="6"/>
        <v>Sat</v>
      </c>
      <c r="G246" t="str">
        <f t="shared" si="7"/>
        <v>Mar</v>
      </c>
    </row>
    <row r="247" spans="1:7" x14ac:dyDescent="0.35">
      <c r="A247" s="1">
        <v>45738</v>
      </c>
      <c r="B247" s="2">
        <v>0.45519675925925923</v>
      </c>
      <c r="C247" t="s">
        <v>2</v>
      </c>
      <c r="D247">
        <v>27</v>
      </c>
      <c r="E247" t="s">
        <v>26</v>
      </c>
      <c r="F247" t="str">
        <f t="shared" si="6"/>
        <v>Sat</v>
      </c>
      <c r="G247" t="str">
        <f t="shared" si="7"/>
        <v>Mar</v>
      </c>
    </row>
    <row r="248" spans="1:7" x14ac:dyDescent="0.35">
      <c r="A248" s="1">
        <v>45738</v>
      </c>
      <c r="B248" s="2">
        <v>0.45862268518518517</v>
      </c>
      <c r="C248" t="s">
        <v>2</v>
      </c>
      <c r="D248">
        <v>25</v>
      </c>
      <c r="E248" t="s">
        <v>20</v>
      </c>
      <c r="F248" t="str">
        <f t="shared" si="6"/>
        <v>Sat</v>
      </c>
      <c r="G248" t="str">
        <f t="shared" si="7"/>
        <v>Mar</v>
      </c>
    </row>
    <row r="249" spans="1:7" x14ac:dyDescent="0.35">
      <c r="A249" s="1">
        <v>45738</v>
      </c>
      <c r="B249" s="2">
        <v>0.70769675925925923</v>
      </c>
      <c r="C249" t="s">
        <v>2</v>
      </c>
      <c r="D249">
        <v>15</v>
      </c>
      <c r="E249" t="s">
        <v>1</v>
      </c>
      <c r="F249" t="str">
        <f t="shared" si="6"/>
        <v>Sat</v>
      </c>
      <c r="G249" t="str">
        <f t="shared" si="7"/>
        <v>Mar</v>
      </c>
    </row>
    <row r="250" spans="1:7" x14ac:dyDescent="0.35">
      <c r="A250" s="1">
        <v>45738</v>
      </c>
      <c r="B250" s="2">
        <v>0.71371527777777777</v>
      </c>
      <c r="C250" t="s">
        <v>0</v>
      </c>
      <c r="D250">
        <v>25</v>
      </c>
      <c r="E250" t="s">
        <v>20</v>
      </c>
      <c r="F250" t="str">
        <f t="shared" si="6"/>
        <v>Sat</v>
      </c>
      <c r="G250" t="str">
        <f t="shared" si="7"/>
        <v>Mar</v>
      </c>
    </row>
    <row r="251" spans="1:7" x14ac:dyDescent="0.35">
      <c r="A251" s="1">
        <v>45738</v>
      </c>
      <c r="B251" s="2">
        <v>0.73947916666666658</v>
      </c>
      <c r="C251" t="s">
        <v>2</v>
      </c>
      <c r="D251">
        <v>28</v>
      </c>
      <c r="E251" t="s">
        <v>13</v>
      </c>
      <c r="F251" t="str">
        <f t="shared" si="6"/>
        <v>Sat</v>
      </c>
      <c r="G251" t="str">
        <f t="shared" si="7"/>
        <v>Mar</v>
      </c>
    </row>
    <row r="252" spans="1:7" x14ac:dyDescent="0.35">
      <c r="A252" s="1">
        <v>45738</v>
      </c>
      <c r="B252" s="2">
        <v>0.74862268518518515</v>
      </c>
      <c r="C252" t="s">
        <v>0</v>
      </c>
      <c r="D252">
        <v>22</v>
      </c>
      <c r="E252" t="s">
        <v>31</v>
      </c>
      <c r="F252" t="str">
        <f t="shared" si="6"/>
        <v>Sat</v>
      </c>
      <c r="G252" t="str">
        <f t="shared" si="7"/>
        <v>Mar</v>
      </c>
    </row>
    <row r="253" spans="1:7" x14ac:dyDescent="0.35">
      <c r="A253" s="1">
        <v>45738</v>
      </c>
      <c r="B253" s="2">
        <v>0.93054398148148154</v>
      </c>
      <c r="C253" t="s">
        <v>2</v>
      </c>
      <c r="D253">
        <v>25</v>
      </c>
      <c r="E253" t="s">
        <v>10</v>
      </c>
      <c r="F253" t="str">
        <f t="shared" si="6"/>
        <v>Sat</v>
      </c>
      <c r="G253" t="str">
        <f t="shared" si="7"/>
        <v>Mar</v>
      </c>
    </row>
    <row r="254" spans="1:7" x14ac:dyDescent="0.35">
      <c r="A254" s="1">
        <v>45738</v>
      </c>
      <c r="B254" s="2">
        <v>0.9314930555555555</v>
      </c>
      <c r="C254" t="s">
        <v>2</v>
      </c>
      <c r="D254">
        <v>25</v>
      </c>
      <c r="E254" t="s">
        <v>10</v>
      </c>
      <c r="F254" t="str">
        <f t="shared" si="6"/>
        <v>Sat</v>
      </c>
      <c r="G254" t="str">
        <f t="shared" si="7"/>
        <v>Mar</v>
      </c>
    </row>
    <row r="255" spans="1:7" x14ac:dyDescent="0.35">
      <c r="A255" s="1">
        <v>45738</v>
      </c>
      <c r="B255" s="2">
        <v>0.93309027777777775</v>
      </c>
      <c r="C255" t="s">
        <v>2</v>
      </c>
      <c r="D255">
        <v>29</v>
      </c>
      <c r="E255" t="s">
        <v>6</v>
      </c>
      <c r="F255" t="str">
        <f t="shared" si="6"/>
        <v>Sat</v>
      </c>
      <c r="G255" t="str">
        <f t="shared" si="7"/>
        <v>Mar</v>
      </c>
    </row>
    <row r="256" spans="1:7" x14ac:dyDescent="0.35">
      <c r="A256" s="1">
        <v>45739</v>
      </c>
      <c r="B256" s="2">
        <v>0.42828703703703702</v>
      </c>
      <c r="C256" t="s">
        <v>0</v>
      </c>
      <c r="D256">
        <v>25</v>
      </c>
      <c r="E256" t="s">
        <v>20</v>
      </c>
      <c r="F256" t="str">
        <f t="shared" si="6"/>
        <v>Sun</v>
      </c>
      <c r="G256" t="str">
        <f t="shared" si="7"/>
        <v>Mar</v>
      </c>
    </row>
    <row r="257" spans="1:7" x14ac:dyDescent="0.35">
      <c r="A257" s="1">
        <v>45739</v>
      </c>
      <c r="B257" s="2">
        <v>0.43458333333333332</v>
      </c>
      <c r="C257" t="s">
        <v>0</v>
      </c>
      <c r="D257">
        <v>25</v>
      </c>
      <c r="E257" t="s">
        <v>10</v>
      </c>
      <c r="F257" t="str">
        <f t="shared" si="6"/>
        <v>Sun</v>
      </c>
      <c r="G257" t="str">
        <f t="shared" si="7"/>
        <v>Mar</v>
      </c>
    </row>
    <row r="258" spans="1:7" x14ac:dyDescent="0.35">
      <c r="A258" s="1">
        <v>45739</v>
      </c>
      <c r="B258" s="2">
        <v>0.43458333333333332</v>
      </c>
      <c r="C258" t="s">
        <v>0</v>
      </c>
      <c r="D258">
        <v>25</v>
      </c>
      <c r="E258" t="s">
        <v>10</v>
      </c>
      <c r="F258" t="str">
        <f t="shared" si="6"/>
        <v>Sun</v>
      </c>
      <c r="G258" t="str">
        <f t="shared" si="7"/>
        <v>Mar</v>
      </c>
    </row>
    <row r="259" spans="1:7" x14ac:dyDescent="0.35">
      <c r="A259" s="1">
        <v>45739</v>
      </c>
      <c r="B259" s="2">
        <v>0.62206018518518513</v>
      </c>
      <c r="C259" t="s">
        <v>0</v>
      </c>
      <c r="D259">
        <v>30</v>
      </c>
      <c r="E259" t="s">
        <v>11</v>
      </c>
      <c r="F259" t="str">
        <f>TEXT(A259,"ddd")</f>
        <v>Sun</v>
      </c>
      <c r="G259" t="str">
        <f>TEXT(A259, "mmm")</f>
        <v>Mar</v>
      </c>
    </row>
    <row r="260" spans="1:7" x14ac:dyDescent="0.35">
      <c r="A260" s="1">
        <v>45739</v>
      </c>
      <c r="B260" s="2">
        <v>0.63583333333333336</v>
      </c>
      <c r="C260" t="s">
        <v>2</v>
      </c>
      <c r="D260">
        <v>25</v>
      </c>
      <c r="E260" t="s">
        <v>20</v>
      </c>
      <c r="F260" t="str">
        <f>TEXT(A260,"ddd")</f>
        <v>Sun</v>
      </c>
      <c r="G260" t="str">
        <f>TEXT(A260, "mmm")</f>
        <v>Mar</v>
      </c>
    </row>
    <row r="261" spans="1:7" x14ac:dyDescent="0.35">
      <c r="A261" s="1">
        <v>45739</v>
      </c>
      <c r="B261" s="2">
        <v>0.74959490740740742</v>
      </c>
      <c r="C261" t="s">
        <v>2</v>
      </c>
      <c r="D261">
        <v>28</v>
      </c>
      <c r="E261" t="s">
        <v>16</v>
      </c>
      <c r="F261" t="str">
        <f>TEXT(A261,"ddd")</f>
        <v>Sun</v>
      </c>
      <c r="G261" t="str">
        <f>TEXT(A261, "mmm")</f>
        <v>Mar</v>
      </c>
    </row>
    <row r="262" spans="1:7" x14ac:dyDescent="0.35">
      <c r="A262" s="1">
        <v>45739</v>
      </c>
      <c r="B262" s="2">
        <v>0.75107638888888895</v>
      </c>
      <c r="C262" t="s">
        <v>2</v>
      </c>
      <c r="D262">
        <v>28</v>
      </c>
      <c r="E262" t="s">
        <v>22</v>
      </c>
      <c r="F262" t="str">
        <f>TEXT(A262,"ddd")</f>
        <v>Sun</v>
      </c>
      <c r="G262" t="str">
        <f>TEXT(A262, "mmm")</f>
        <v>Mar</v>
      </c>
    </row>
    <row r="263" spans="1:7" x14ac:dyDescent="0.35">
      <c r="A263" s="1">
        <v>45739</v>
      </c>
      <c r="B263" s="2">
        <v>0.89109953703703704</v>
      </c>
      <c r="C263" t="s">
        <v>2</v>
      </c>
      <c r="D263">
        <v>29</v>
      </c>
      <c r="E263" t="s">
        <v>6</v>
      </c>
      <c r="F263" t="str">
        <f>TEXT(A263,"ddd")</f>
        <v>Sun</v>
      </c>
      <c r="G263" t="str">
        <f>TEXT(A263, "mmm")</f>
        <v>Mar</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showGridLines="0" topLeftCell="A14" workbookViewId="0">
      <selection activeCell="D33" sqref="D33"/>
    </sheetView>
  </sheetViews>
  <sheetFormatPr defaultRowHeight="14.5" x14ac:dyDescent="0.3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ABF08-053A-4DA5-B0E5-91DE22028B56}">
  <dimension ref="A1"/>
  <sheetViews>
    <sheetView showGridLines="0" tabSelected="1" zoomScale="57" zoomScaleNormal="57" workbookViewId="0">
      <selection activeCell="Q47" sqref="Q47"/>
    </sheetView>
  </sheetViews>
  <sheetFormatPr defaultRowHeight="14.5" x14ac:dyDescent="0.35"/>
  <cols>
    <col min="1" max="1" width="8.7265625" style="15" customWidth="1"/>
    <col min="2" max="16384" width="8.7265625" style="15"/>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showGridLines="0" workbookViewId="0"/>
  </sheetViews>
  <sheetFormatPr defaultRowHeight="14.5" x14ac:dyDescent="0.35"/>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
  <sheetViews>
    <sheetView showGridLines="0" workbookViewId="0"/>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Day with High sale</vt:lpstr>
      <vt:lpstr>Mode of payment</vt:lpstr>
      <vt:lpstr>Quantity sold by month</vt:lpstr>
      <vt:lpstr>Top 5 coffee by revenue</vt:lpstr>
      <vt:lpstr>Top 6 coffee by quantity</vt:lpstr>
      <vt:lpstr>Revenue by month</vt:lpstr>
      <vt:lpstr>Top hour by highest revenue</vt:lpstr>
      <vt:lpstr>Top hour by quantity sold</vt:lpstr>
      <vt:lpstr>In Analysis board</vt:lpstr>
      <vt:lpstr>Sales trend</vt:lpstr>
      <vt:lpstr>Task 19B</vt:lpstr>
      <vt:lpstr>Pre-Analysis board</vt:lpstr>
      <vt:lpstr>Dashboard</vt:lpstr>
      <vt:lpstr>Post Analysis - Observation</vt:lpstr>
      <vt:lpstr>Post Analysis - Recommendation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dc:creator>
  <cp:lastModifiedBy>Charles</cp:lastModifiedBy>
  <dcterms:created xsi:type="dcterms:W3CDTF">2025-08-24T17:22:52Z</dcterms:created>
  <dcterms:modified xsi:type="dcterms:W3CDTF">2025-10-20T20:38:11Z</dcterms:modified>
</cp:coreProperties>
</file>